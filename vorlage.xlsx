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🏠 Auswertung" sheetId="1" state="visible" r:id="rId3"/>
    <sheet name="Bio" sheetId="2" state="visible" r:id="rId4"/>
    <sheet name="Chem" sheetId="3" state="visible" r:id="rId5"/>
    <sheet name="Phys" sheetId="4" state="visible" r:id="rId6"/>
    <sheet name="Math" sheetId="5" state="visible" r:id="rId7"/>
    <sheet name="TV" sheetId="6" state="visible" r:id="rId8"/>
    <sheet name="Figuren" sheetId="7" state="visible" r:id="rId9"/>
    <sheet name="Allergie" sheetId="8" state="visible" r:id="rId10"/>
    <sheet name="Zahlen" sheetId="9" state="visible" r:id="rId11"/>
    <sheet name="Wort" sheetId="10" state="visible" r:id="rId12"/>
    <sheet name="Implik" sheetId="11" state="visible" r:id="rId13"/>
    <sheet name="Emot.Reg" sheetId="12" state="visible" r:id="rId14"/>
    <sheet name="Emot.Erk" sheetId="13" state="visible" r:id="rId15"/>
    <sheet name="Sozial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<sst xmlns="http://schemas.openxmlformats.org/spreadsheetml/2006/main" count="244" uniqueCount="80">
  <si>
    <t xml:space="preserve">🩺  MedAT-H  –  Simulations-Auswertung</t>
  </si>
  <si>
    <t xml:space="preserve">Gib deine Antworten in den Untertest-Blättern ein – diese Seite aktualisiert sich automatisch</t>
  </si>
  <si>
    <t xml:space="preserve">📈  Gesamtergebnis</t>
  </si>
  <si>
    <t xml:space="preserve">Sektion</t>
  </si>
  <si>
    <t xml:space="preserve">Gewichtung</t>
  </si>
  <si>
    <t xml:space="preserve">Score %</t>
  </si>
  <si>
    <t xml:space="preserve">Gew. Punkte</t>
  </si>
  <si>
    <t xml:space="preserve">Status</t>
  </si>
  <si>
    <t xml:space="preserve">BMS</t>
  </si>
  <si>
    <t xml:space="preserve">40 %</t>
  </si>
  <si>
    <t xml:space="preserve">TV</t>
  </si>
  <si>
    <t xml:space="preserve">10 %</t>
  </si>
  <si>
    <t xml:space="preserve">KFF</t>
  </si>
  <si>
    <t xml:space="preserve">SEK</t>
  </si>
  <si>
    <t xml:space="preserve">🎯  Gesamtscore (gewichtet)</t>
  </si>
  <si>
    <t xml:space="preserve">📋  Detailauswertung nach Untertest</t>
  </si>
  <si>
    <t xml:space="preserve">Untertest</t>
  </si>
  <si>
    <t xml:space="preserve">Fragen</t>
  </si>
  <si>
    <t xml:space="preserve">Richtig</t>
  </si>
  <si>
    <t xml:space="preserve">Falsch</t>
  </si>
  <si>
    <t xml:space="preserve">Biologie</t>
  </si>
  <si>
    <t xml:space="preserve">Chemie</t>
  </si>
  <si>
    <t xml:space="preserve">Physik</t>
  </si>
  <si>
    <t xml:space="preserve">Mathematik</t>
  </si>
  <si>
    <t xml:space="preserve">Textverständnis</t>
  </si>
  <si>
    <t xml:space="preserve">Figuren zusammensetzen</t>
  </si>
  <si>
    <t xml:space="preserve">Allergieausweise Reproduktion</t>
  </si>
  <si>
    <t xml:space="preserve">Zahlenfolgen</t>
  </si>
  <si>
    <t xml:space="preserve">Wortflüssigkeit</t>
  </si>
  <si>
    <t xml:space="preserve">Implikationen erkennen</t>
  </si>
  <si>
    <t xml:space="preserve">Emotionen regulieren</t>
  </si>
  <si>
    <t xml:space="preserve">Emotionen erkennen</t>
  </si>
  <si>
    <t xml:space="preserve">Soziales Entscheiden</t>
  </si>
  <si>
    <t xml:space="preserve">💡  Legende:  🌟 ≥ 80 %   ✅ 65–79 %   ⚠️ 50–64 %   ❌ &lt; 50 %</t>
  </si>
  <si>
    <t xml:space="preserve">ℹ️  Emotionen erkennen: W=wahrscheinlich, U=unwahrscheinlich  •  Soziales Entscheiden: Rang 1=wichtigste bis 5=unwichtigste Überlegung</t>
  </si>
  <si>
    <t xml:space="preserve">📝  Biologie  |  BMS  |  40 Fragen</t>
  </si>
  <si>
    <t xml:space="preserve">Antwortformat: A / B / C / D / E  –  Dropdown verfügbar</t>
  </si>
  <si>
    <t xml:space="preserve">Nr.</t>
  </si>
  <si>
    <t xml:space="preserve">Meine Antwort</t>
  </si>
  <si>
    <t xml:space="preserve">Richtige Antwort</t>
  </si>
  <si>
    <t xml:space="preserve">✔ / ✗</t>
  </si>
  <si>
    <t xml:space="preserve">Notizen</t>
  </si>
  <si>
    <t xml:space="preserve">📊  Auswertung</t>
  </si>
  <si>
    <t xml:space="preserve">Gesamt Fragen</t>
  </si>
  <si>
    <t xml:space="preserve">Beantwortet</t>
  </si>
  <si>
    <t xml:space="preserve">Richtig ✔</t>
  </si>
  <si>
    <t xml:space="preserve">Falsch ✗</t>
  </si>
  <si>
    <t xml:space="preserve">📝  Chemie  |  BMS  |  24 Fragen</t>
  </si>
  <si>
    <t xml:space="preserve">📝  Physik  |  BMS  |  18 Fragen</t>
  </si>
  <si>
    <t xml:space="preserve">📝  Mathematik  |  BMS  |  12 Fragen</t>
  </si>
  <si>
    <t xml:space="preserve">📝  Textverständnis  |  TV  |  12 Fragen</t>
  </si>
  <si>
    <t xml:space="preserve">📝  Figuren zusammensetzen  |  KFF  |  15 Fragen</t>
  </si>
  <si>
    <t xml:space="preserve">📝  Allergieausweise Reproduktion  |  KFF  |  25 Fragen</t>
  </si>
  <si>
    <t xml:space="preserve">📝  Zahlenfolgen  |  KFF  |  10 Fragen</t>
  </si>
  <si>
    <t xml:space="preserve">📝  Wortflüssigkeit  |  KFF  |  15 Fragen</t>
  </si>
  <si>
    <t xml:space="preserve">📝  Implikationen erkennen  |  KFF  |  10 Fragen</t>
  </si>
  <si>
    <t xml:space="preserve">📝  Emotionen regulieren  |  SEK  |  12 Fragen</t>
  </si>
  <si>
    <t xml:space="preserve">📝  Emotionen erkennen  |  SEK  |  14 Aufgaben  ×  5 Emotionen</t>
  </si>
  <si>
    <t xml:space="preserve">Für jede Aufgabe 5 Emotionen (A–E) als  W = wahrscheinlich  oder  U = unwahrscheinlich  bewerten.  Nur wenn ALLE 5 stimmen → ✔  (1 Punkt)</t>
  </si>
  <si>
    <t xml:space="preserve">Emotion A</t>
  </si>
  <si>
    <t xml:space="preserve">Emotion B</t>
  </si>
  <si>
    <t xml:space="preserve">Emotion C</t>
  </si>
  <si>
    <t xml:space="preserve">Emotion D</t>
  </si>
  <si>
    <t xml:space="preserve">Emotion E</t>
  </si>
  <si>
    <t xml:space="preserve">Alle ✔/✗</t>
  </si>
  <si>
    <t xml:space="preserve">Mein Ans.</t>
  </si>
  <si>
    <t xml:space="preserve">Richtiger Ans.</t>
  </si>
  <si>
    <t xml:space="preserve">Gesamt Aufgaben</t>
  </si>
  <si>
    <t xml:space="preserve">Richtig ✔  (alle 5 korrekt)</t>
  </si>
  <si>
    <t xml:space="preserve">📝  Soziales Entscheiden  |  SEK  |  14 Aufgaben  ×  5 Überlegungen</t>
  </si>
  <si>
    <t xml:space="preserve">Für jede Aufgabe die 5 Überlegungen (A–E) mit Rang 1 (wichtigste) bis 5 (unwichtigste) bewerten.  Jeder Rang darf nur EINMAL vorkommen!  Punkte = 1 − (Summe |Mein−Richtig|) / 12  (max. Abweichung = 12)</t>
  </si>
  <si>
    <t xml:space="preserve">Überl. A</t>
  </si>
  <si>
    <t xml:space="preserve">Überl. B</t>
  </si>
  <si>
    <t xml:space="preserve">Überl. C</t>
  </si>
  <si>
    <t xml:space="preserve">Überl. D</t>
  </si>
  <si>
    <t xml:space="preserve">Überl. E</t>
  </si>
  <si>
    <t xml:space="preserve">Punkte</t>
  </si>
  <si>
    <t xml:space="preserve">Mein Rang</t>
  </si>
  <si>
    <t xml:space="preserve">Richtiger Rang</t>
  </si>
  <si>
    <t xml:space="preserve">Summe Punkte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</si>
</sst>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\%"/>
    <numFmt numFmtId="166" formatCode="0.0"/>
    <numFmt numFmtId="167" formatCode="0.00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6C757D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1B5E8A"/>
      <name val="Arial"/>
      <family val="0"/>
      <charset val="1"/>
    </font>
    <font>
      <sz val="11"/>
      <color rgb="FF1B5E8A"/>
      <name val="Arial"/>
      <family val="0"/>
      <charset val="1"/>
    </font>
    <font>
      <b val="true"/>
      <sz val="11"/>
      <color rgb="FF1B5E8A"/>
      <name val="Arial"/>
      <family val="0"/>
      <charset val="1"/>
    </font>
    <font>
      <b val="true"/>
      <sz val="12"/>
      <color rgb="FF1A7A4A"/>
      <name val="Arial"/>
      <family val="0"/>
      <charset val="1"/>
    </font>
    <font>
      <sz val="11"/>
      <color rgb="FF1A7A4A"/>
      <name val="Arial"/>
      <family val="0"/>
      <charset val="1"/>
    </font>
    <font>
      <b val="true"/>
      <sz val="11"/>
      <color rgb="FF1A7A4A"/>
      <name val="Arial"/>
      <family val="0"/>
      <charset val="1"/>
    </font>
    <font>
      <b val="true"/>
      <sz val="12"/>
      <color rgb="FF7B2D8B"/>
      <name val="Arial"/>
      <family val="0"/>
      <charset val="1"/>
    </font>
    <font>
      <sz val="11"/>
      <color rgb="FF7B2D8B"/>
      <name val="Arial"/>
      <family val="0"/>
      <charset val="1"/>
    </font>
    <font>
      <b val="true"/>
      <sz val="11"/>
      <color rgb="FF7B2D8B"/>
      <name val="Arial"/>
      <family val="0"/>
      <charset val="1"/>
    </font>
    <font>
      <b val="true"/>
      <sz val="12"/>
      <color rgb="FFB85C00"/>
      <name val="Arial"/>
      <family val="0"/>
      <charset val="1"/>
    </font>
    <font>
      <sz val="11"/>
      <color rgb="FFB85C00"/>
      <name val="Arial"/>
      <family val="0"/>
      <charset val="1"/>
    </font>
    <font>
      <b val="true"/>
      <sz val="11"/>
      <color rgb="FFB85C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1B5E8A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A7A4A"/>
      <name val="Arial"/>
      <family val="0"/>
      <charset val="1"/>
    </font>
    <font>
      <b val="true"/>
      <sz val="10"/>
      <color rgb="FF7B2D8B"/>
      <name val="Arial"/>
      <family val="0"/>
      <charset val="1"/>
    </font>
    <font>
      <b val="true"/>
      <sz val="10"/>
      <color rgb="FFB85C00"/>
      <name val="Arial"/>
      <family val="0"/>
      <charset val="1"/>
    </font>
    <font>
      <i val="true"/>
      <sz val="10"/>
      <color rgb="FF1B5E8A"/>
      <name val="Arial"/>
      <family val="0"/>
      <charset val="1"/>
    </font>
    <font>
      <sz val="10"/>
      <color rgb="FF6C757D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1A7A4A"/>
      <name val="Arial"/>
      <family val="0"/>
      <charset val="1"/>
    </font>
    <font>
      <i val="true"/>
      <sz val="10"/>
      <color rgb="FF7B2D8B"/>
      <name val="Arial"/>
      <family val="0"/>
      <charset val="1"/>
    </font>
    <font>
      <i val="true"/>
      <sz val="10"/>
      <color rgb="FFB85C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B85C0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EBF3FB"/>
        <bgColor rgb="FFF2F7FC"/>
      </patternFill>
    </fill>
    <fill>
      <patternFill patternType="solid">
        <fgColor rgb="FF2E6DA4"/>
        <bgColor rgb="FF1B5E8A"/>
      </patternFill>
    </fill>
    <fill>
      <patternFill patternType="solid">
        <fgColor rgb="FFD6E8F5"/>
        <bgColor rgb="FFD5EFE2"/>
      </patternFill>
    </fill>
    <fill>
      <patternFill patternType="solid">
        <fgColor rgb="FFD5EFE2"/>
        <bgColor rgb="FFD4EDDA"/>
      </patternFill>
    </fill>
    <fill>
      <patternFill patternType="solid">
        <fgColor rgb="FFEDD6F5"/>
        <bgColor rgb="FFF8D7DA"/>
      </patternFill>
    </fill>
    <fill>
      <patternFill patternType="solid">
        <fgColor rgb="FFFAE5CC"/>
        <bgColor rgb="FFFFF3CD"/>
      </patternFill>
    </fill>
    <fill>
      <patternFill patternType="solid">
        <fgColor rgb="FFF0A500"/>
        <bgColor rgb="FFFFCC00"/>
      </patternFill>
    </fill>
    <fill>
      <patternFill patternType="solid">
        <fgColor rgb="FF1B5E8A"/>
        <bgColor rgb="FF2E6DA4"/>
      </patternFill>
    </fill>
    <fill>
      <patternFill patternType="solid">
        <fgColor rgb="FFFFFFFF"/>
        <bgColor rgb="FFF2F7FC"/>
      </patternFill>
    </fill>
    <fill>
      <patternFill patternType="solid">
        <fgColor rgb="FFF2F7FC"/>
        <bgColor rgb="FFEBF3FB"/>
      </patternFill>
    </fill>
    <fill>
      <patternFill patternType="solid">
        <fgColor rgb="FF1A7A4A"/>
        <bgColor rgb="FF008080"/>
      </patternFill>
    </fill>
    <fill>
      <patternFill patternType="solid">
        <fgColor rgb="FF7B2D8B"/>
        <bgColor rgb="FF993366"/>
      </patternFill>
    </fill>
    <fill>
      <patternFill patternType="solid">
        <fgColor rgb="FFB85C00"/>
        <bgColor rgb="FF856404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ADB5BD"/>
      </left>
      <right/>
      <top style="thin">
        <color rgb="FFADB5BD"/>
      </top>
      <bottom style="thin">
        <color rgb="FFADB5BD"/>
      </bottom>
      <diagonal/>
    </border>
    <border diagonalUp="false" diagonalDown="false">
      <left style="thin">
        <color rgb="FFADB5BD"/>
      </left>
      <right style="thin">
        <color rgb="FFADB5BD"/>
      </right>
      <top style="thin">
        <color rgb="FFADB5BD"/>
      </top>
      <bottom style="thin">
        <color rgb="FFADB5BD"/>
      </bottom>
      <diagonal/>
    </border>
    <border diagonalUp="false" diagonalDown="false">
      <left style="thin">
        <color rgb="FFADB5BD"/>
      </left>
      <right style="thin">
        <color rgb="FFADB5BD"/>
      </right>
      <top style="thin">
        <color rgb="FFADB5BD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9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155724"/>
      </font>
      <fill>
        <patternFill>
          <bgColor rgb="FFD4EDDA"/>
        </patternFill>
      </fill>
    </dxf>
    <dxf>
      <font>
        <name val="Arial"/>
        <charset val="1"/>
        <family val="0"/>
        <b val="1"/>
        <color rgb="FF856404"/>
      </font>
      <fill>
        <patternFill>
          <bgColor rgb="FFFFF3CD"/>
        </patternFill>
      </fill>
    </dxf>
    <dxf>
      <font>
        <name val="Arial"/>
        <charset val="1"/>
        <family val="0"/>
        <b val="1"/>
        <color rgb="FF721C24"/>
      </font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21C24"/>
      <rgbColor rgb="FF008000"/>
      <rgbColor rgb="FF000080"/>
      <rgbColor rgb="FF856404"/>
      <rgbColor rgb="FF800080"/>
      <rgbColor rgb="FF1A7A4A"/>
      <rgbColor rgb="FFADB5BD"/>
      <rgbColor rgb="FF6C757D"/>
      <rgbColor rgb="FF9999FF"/>
      <rgbColor rgb="FF7B2D8B"/>
      <rgbColor rgb="FFFFF3CD"/>
      <rgbColor rgb="FFD6E8F5"/>
      <rgbColor rgb="FF660066"/>
      <rgbColor rgb="FFFF8080"/>
      <rgbColor rgb="FF1B5E8A"/>
      <rgbColor rgb="FFEDD6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4EDDA"/>
      <rgbColor rgb="FFD5EFE2"/>
      <rgbColor rgb="FFFAE5CC"/>
      <rgbColor rgb="FFEBF3FB"/>
      <rgbColor rgb="FFF2F7FC"/>
      <rgbColor rgb="FFCC99FF"/>
      <rgbColor rgb="FFF8D7DA"/>
      <rgbColor rgb="FF2E6DA4"/>
      <rgbColor rgb="FF33CCCC"/>
      <rgbColor rgb="FF99CC00"/>
      <rgbColor rgb="FFFFCC00"/>
      <rgbColor rgb="FFF0A500"/>
      <rgbColor rgb="FFFF6600"/>
      <rgbColor rgb="FF666699"/>
      <rgbColor rgb="FF969696"/>
      <rgbColor rgb="FF1B3A6B"/>
      <rgbColor rgb="FF339966"/>
      <rgbColor rgb="FF155724"/>
      <rgbColor rgb="FF333300"/>
      <rgbColor rgb="FFB85C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6" min="3" style="0" width="14"/>
    <col collapsed="false" customWidth="true" hidden="false" outlineLevel="0" max="7" min="7" style="0" width="18"/>
    <col collapsed="false" customWidth="true" hidden="false" outlineLevel="0" max="8" min="8" style="0" width="0.51"/>
  </cols>
  <sheetData>
    <row r="1" customFormat="false" ht="48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7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21.75" hidden="false" customHeight="true" outlineLevel="0" collapsed="false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</row>
    <row r="6" customFormat="false" ht="21.75" hidden="false" customHeight="true" outlineLevel="0" collapsed="false">
      <c r="B6" s="5" t="s">
        <v>8</v>
      </c>
      <c r="C6" s="6" t="s">
        <v>9</v>
      </c>
      <c r="D6" s="7" t="n">
        <f aca="false">H30</f>
        <v>0</v>
      </c>
      <c r="E6" s="8" t="n">
        <f aca="false">H30*0.4</f>
        <v>0</v>
      </c>
      <c r="F6" s="6" t="str">
        <f aca="false">IF(H30&gt;=80,"🌟 Sehr gut",IF(H30&gt;=65,"✅ Gut",IF(H30&gt;=50,"⚠️ Ausreichend","❌ Üben")))</f>
        <v>❌ Üben</v>
      </c>
    </row>
    <row r="7" customFormat="false" ht="21.75" hidden="false" customHeight="true" outlineLevel="0" collapsed="false">
      <c r="B7" s="9" t="s">
        <v>10</v>
      </c>
      <c r="C7" s="10" t="s">
        <v>11</v>
      </c>
      <c r="D7" s="11" t="n">
        <f aca="false">H31</f>
        <v>0</v>
      </c>
      <c r="E7" s="12" t="n">
        <f aca="false">H31*0.1</f>
        <v>0</v>
      </c>
      <c r="F7" s="10" t="str">
        <f aca="false">IF(H31&gt;=80,"🌟 Sehr gut",IF(H31&gt;=65,"✅ Gut",IF(H31&gt;=50,"⚠️ Ausreichend","❌ Üben")))</f>
        <v>❌ Üben</v>
      </c>
    </row>
    <row r="8" customFormat="false" ht="21.75" hidden="false" customHeight="true" outlineLevel="0" collapsed="false">
      <c r="B8" s="13" t="s">
        <v>12</v>
      </c>
      <c r="C8" s="14" t="s">
        <v>9</v>
      </c>
      <c r="D8" s="15" t="n">
        <f aca="false">H32</f>
        <v>0</v>
      </c>
      <c r="E8" s="16" t="n">
        <f aca="false">H32*0.4</f>
        <v>0</v>
      </c>
      <c r="F8" s="14" t="str">
        <f aca="false">IF(H32&gt;=80,"🌟 Sehr gut",IF(H32&gt;=65,"✅ Gut",IF(H32&gt;=50,"⚠️ Ausreichend","❌ Üben")))</f>
        <v>❌ Üben</v>
      </c>
    </row>
    <row r="9" customFormat="false" ht="21.75" hidden="false" customHeight="true" outlineLevel="0" collapsed="false">
      <c r="B9" s="17" t="s">
        <v>13</v>
      </c>
      <c r="C9" s="18" t="s">
        <v>11</v>
      </c>
      <c r="D9" s="19" t="n">
        <f aca="false">H33</f>
        <v>0</v>
      </c>
      <c r="E9" s="20" t="n">
        <f aca="false">H33*0.1</f>
        <v>0</v>
      </c>
      <c r="F9" s="18" t="str">
        <f aca="false">IF(H33&gt;=80,"🌟 Sehr gut",IF(H33&gt;=65,"✅ Gut",IF(H33&gt;=50,"⚠️ Ausreichend","❌ Üben")))</f>
        <v>❌ Üben</v>
      </c>
    </row>
    <row r="11" customFormat="false" ht="31.5" hidden="false" customHeight="true" outlineLevel="0" collapsed="false">
      <c r="B11" s="21" t="s">
        <v>14</v>
      </c>
      <c r="C11" s="21"/>
      <c r="D11" s="22" t="n">
        <f aca="false">H34</f>
        <v>0</v>
      </c>
      <c r="F11" s="21" t="str">
        <f aca="false">IF(H34&gt;=80,"🌟 Sehr gut",IF(H34&gt;=65,"✅ Gut",IF(H34&gt;=50,"⚠️ Ausreichend","❌ Weiter üben")))</f>
        <v>❌ Weiter üben</v>
      </c>
    </row>
    <row r="13" customFormat="false" ht="27.75" hidden="false" customHeight="true" outlineLevel="0" collapsed="false">
      <c r="A13" s="3" t="s">
        <v>15</v>
      </c>
      <c r="B13" s="3"/>
      <c r="C13" s="3"/>
      <c r="D13" s="3"/>
      <c r="E13" s="3"/>
      <c r="F13" s="3"/>
      <c r="G13" s="3"/>
    </row>
    <row r="14" customFormat="false" ht="21.75" hidden="false" customHeight="true" outlineLevel="0" collapsed="false">
      <c r="A14" s="4" t="s">
        <v>3</v>
      </c>
      <c r="B14" s="4" t="s">
        <v>16</v>
      </c>
      <c r="C14" s="4" t="s">
        <v>17</v>
      </c>
      <c r="D14" s="4" t="s">
        <v>18</v>
      </c>
      <c r="E14" s="4" t="s">
        <v>19</v>
      </c>
      <c r="F14" s="4" t="s">
        <v>5</v>
      </c>
      <c r="G14" s="4" t="s">
        <v>7</v>
      </c>
    </row>
    <row r="15" customFormat="false" ht="21.75" hidden="false" customHeight="true" outlineLevel="0" collapsed="false">
      <c r="A15" s="23" t="s">
        <v>8</v>
      </c>
      <c r="B15" s="24" t="s">
        <v>20</v>
      </c>
      <c r="C15" s="25" t="n">
        <v>40</v>
      </c>
      <c r="D15" s="25" t="n">
        <f aca="false">ROUND(Bio!F50/100*40,0)</f>
        <v>0</v>
      </c>
      <c r="E15" s="25" t="n">
        <f aca="false">40-D15</f>
        <v>40</v>
      </c>
      <c r="F15" s="26" t="n">
        <f aca="false">Bio!F50</f>
        <v>0</v>
      </c>
      <c r="G15" s="25" t="str">
        <f aca="false">IF(F15&gt;=80,"🌟",IF(F15&gt;=65,"✅",IF(F15&gt;=50,"⚠️","❌")))</f>
        <v>❌</v>
      </c>
    </row>
    <row r="16" customFormat="false" ht="21.75" hidden="false" customHeight="true" outlineLevel="0" collapsed="false">
      <c r="A16" s="23" t="s">
        <v>8</v>
      </c>
      <c r="B16" s="24" t="s">
        <v>21</v>
      </c>
      <c r="C16" s="25" t="n">
        <v>24</v>
      </c>
      <c r="D16" s="25" t="n">
        <f aca="false">ROUND(Chem!F34/100*24,0)</f>
        <v>0</v>
      </c>
      <c r="E16" s="25" t="n">
        <f aca="false">24-D16</f>
        <v>24</v>
      </c>
      <c r="F16" s="26" t="n">
        <f aca="false">Chem!F34</f>
        <v>0</v>
      </c>
      <c r="G16" s="25" t="str">
        <f aca="false">IF(F16&gt;=80,"🌟",IF(F16&gt;=65,"✅",IF(F16&gt;=50,"⚠️","❌")))</f>
        <v>❌</v>
      </c>
    </row>
    <row r="17" customFormat="false" ht="21.75" hidden="false" customHeight="true" outlineLevel="0" collapsed="false">
      <c r="A17" s="23" t="s">
        <v>8</v>
      </c>
      <c r="B17" s="24" t="s">
        <v>22</v>
      </c>
      <c r="C17" s="25" t="n">
        <v>18</v>
      </c>
      <c r="D17" s="25" t="n">
        <f aca="false">ROUND(Phys!F28/100*18,0)</f>
        <v>0</v>
      </c>
      <c r="E17" s="25" t="n">
        <f aca="false">18-D17</f>
        <v>18</v>
      </c>
      <c r="F17" s="26" t="n">
        <f aca="false">Phys!F28</f>
        <v>0</v>
      </c>
      <c r="G17" s="25" t="str">
        <f aca="false">IF(F17&gt;=80,"🌟",IF(F17&gt;=65,"✅",IF(F17&gt;=50,"⚠️","❌")))</f>
        <v>❌</v>
      </c>
    </row>
    <row r="18" customFormat="false" ht="21.75" hidden="false" customHeight="true" outlineLevel="0" collapsed="false">
      <c r="A18" s="23" t="s">
        <v>8</v>
      </c>
      <c r="B18" s="24" t="s">
        <v>23</v>
      </c>
      <c r="C18" s="25" t="n">
        <v>12</v>
      </c>
      <c r="D18" s="25" t="n">
        <f aca="false">ROUND(Math!F22/100*12,0)</f>
        <v>0</v>
      </c>
      <c r="E18" s="25" t="n">
        <f aca="false">12-D18</f>
        <v>12</v>
      </c>
      <c r="F18" s="26" t="n">
        <f aca="false">Math!F22</f>
        <v>0</v>
      </c>
      <c r="G18" s="25" t="str">
        <f aca="false">IF(F18&gt;=80,"🌟",IF(F18&gt;=65,"✅",IF(F18&gt;=50,"⚠️","❌")))</f>
        <v>❌</v>
      </c>
    </row>
    <row r="19" customFormat="false" ht="21.75" hidden="false" customHeight="true" outlineLevel="0" collapsed="false">
      <c r="A19" s="27" t="s">
        <v>10</v>
      </c>
      <c r="B19" s="28" t="s">
        <v>24</v>
      </c>
      <c r="C19" s="29" t="n">
        <v>12</v>
      </c>
      <c r="D19" s="29" t="n">
        <f aca="false">ROUND(TV!F22/100*12,0)</f>
        <v>0</v>
      </c>
      <c r="E19" s="29" t="n">
        <f aca="false">12-D19</f>
        <v>12</v>
      </c>
      <c r="F19" s="30" t="n">
        <f aca="false">TV!F22</f>
        <v>0</v>
      </c>
      <c r="G19" s="29" t="str">
        <f aca="false">IF(F19&gt;=80,"🌟",IF(F19&gt;=65,"✅",IF(F19&gt;=50,"⚠️","❌")))</f>
        <v>❌</v>
      </c>
    </row>
    <row r="20" customFormat="false" ht="21.75" hidden="false" customHeight="true" outlineLevel="0" collapsed="false">
      <c r="A20" s="31" t="s">
        <v>12</v>
      </c>
      <c r="B20" s="32" t="s">
        <v>25</v>
      </c>
      <c r="C20" s="33" t="n">
        <v>15</v>
      </c>
      <c r="D20" s="33" t="n">
        <f aca="false">ROUND(Figuren!F25/100*15,0)</f>
        <v>0</v>
      </c>
      <c r="E20" s="33" t="n">
        <f aca="false">15-D20</f>
        <v>15</v>
      </c>
      <c r="F20" s="34" t="n">
        <f aca="false">Figuren!F25</f>
        <v>0</v>
      </c>
      <c r="G20" s="33" t="str">
        <f aca="false">IF(F20&gt;=80,"🌟",IF(F20&gt;=65,"✅",IF(F20&gt;=50,"⚠️","❌")))</f>
        <v>❌</v>
      </c>
    </row>
    <row r="21" customFormat="false" ht="21.75" hidden="false" customHeight="true" outlineLevel="0" collapsed="false">
      <c r="A21" s="31" t="s">
        <v>12</v>
      </c>
      <c r="B21" s="32" t="s">
        <v>26</v>
      </c>
      <c r="C21" s="33" t="n">
        <v>25</v>
      </c>
      <c r="D21" s="33" t="n">
        <f aca="false">ROUND(Allergie!F35/100*25,0)</f>
        <v>0</v>
      </c>
      <c r="E21" s="33" t="n">
        <f aca="false">25-D21</f>
        <v>25</v>
      </c>
      <c r="F21" s="34" t="n">
        <f aca="false">Allergie!F35</f>
        <v>0</v>
      </c>
      <c r="G21" s="33" t="str">
        <f aca="false">IF(F21&gt;=80,"🌟",IF(F21&gt;=65,"✅",IF(F21&gt;=50,"⚠️","❌")))</f>
        <v>❌</v>
      </c>
    </row>
    <row r="22" customFormat="false" ht="21.75" hidden="false" customHeight="true" outlineLevel="0" collapsed="false">
      <c r="A22" s="31" t="s">
        <v>12</v>
      </c>
      <c r="B22" s="32" t="s">
        <v>27</v>
      </c>
      <c r="C22" s="33" t="n">
        <v>10</v>
      </c>
      <c r="D22" s="33" t="n">
        <f aca="false">ROUND(Zahlen!F20/100*10,0)</f>
        <v>0</v>
      </c>
      <c r="E22" s="33" t="n">
        <f aca="false">10-D22</f>
        <v>10</v>
      </c>
      <c r="F22" s="34" t="n">
        <f aca="false">Zahlen!F20</f>
        <v>0</v>
      </c>
      <c r="G22" s="33" t="str">
        <f aca="false">IF(F22&gt;=80,"🌟",IF(F22&gt;=65,"✅",IF(F22&gt;=50,"⚠️","❌")))</f>
        <v>❌</v>
      </c>
    </row>
    <row r="23" customFormat="false" ht="21.75" hidden="false" customHeight="true" outlineLevel="0" collapsed="false">
      <c r="A23" s="31" t="s">
        <v>12</v>
      </c>
      <c r="B23" s="32" t="s">
        <v>28</v>
      </c>
      <c r="C23" s="33" t="n">
        <v>15</v>
      </c>
      <c r="D23" s="33" t="n">
        <f aca="false">ROUND(Wort!F25/100*15,0)</f>
        <v>0</v>
      </c>
      <c r="E23" s="33" t="n">
        <f aca="false">15-D23</f>
        <v>15</v>
      </c>
      <c r="F23" s="34" t="n">
        <f aca="false">Wort!F25</f>
        <v>0</v>
      </c>
      <c r="G23" s="33" t="str">
        <f aca="false">IF(F23&gt;=80,"🌟",IF(F23&gt;=65,"✅",IF(F23&gt;=50,"⚠️","❌")))</f>
        <v>❌</v>
      </c>
    </row>
    <row r="24" customFormat="false" ht="21.75" hidden="false" customHeight="true" outlineLevel="0" collapsed="false">
      <c r="A24" s="31" t="s">
        <v>12</v>
      </c>
      <c r="B24" s="32" t="s">
        <v>29</v>
      </c>
      <c r="C24" s="33" t="n">
        <v>10</v>
      </c>
      <c r="D24" s="33" t="n">
        <f aca="false">ROUND(Implik!F20/100*10,0)</f>
        <v>0</v>
      </c>
      <c r="E24" s="33" t="n">
        <f aca="false">10-D24</f>
        <v>10</v>
      </c>
      <c r="F24" s="34" t="n">
        <f aca="false">Implik!F20</f>
        <v>0</v>
      </c>
      <c r="G24" s="33" t="str">
        <f aca="false">IF(F24&gt;=80,"🌟",IF(F24&gt;=65,"✅",IF(F24&gt;=50,"⚠️","❌")))</f>
        <v>❌</v>
      </c>
    </row>
    <row r="25" customFormat="false" ht="21.75" hidden="false" customHeight="true" outlineLevel="0" collapsed="false">
      <c r="A25" s="35" t="s">
        <v>13</v>
      </c>
      <c r="B25" s="36" t="s">
        <v>30</v>
      </c>
      <c r="C25" s="37" t="n">
        <v>12</v>
      </c>
      <c r="D25" s="37" t="n">
        <f aca="false">ROUND('Emot.Reg'!F22/100*12,0)</f>
        <v>0</v>
      </c>
      <c r="E25" s="37" t="n">
        <f aca="false">12-D25</f>
        <v>12</v>
      </c>
      <c r="F25" s="38" t="n">
        <f aca="false">'Emot.Reg'!F22</f>
        <v>0</v>
      </c>
      <c r="G25" s="37" t="str">
        <f aca="false">IF(F25&gt;=80,"🌟",IF(F25&gt;=65,"✅",IF(F25&gt;=50,"⚠️","❌")))</f>
        <v>❌</v>
      </c>
    </row>
    <row r="26" customFormat="false" ht="21.75" hidden="false" customHeight="true" outlineLevel="0" collapsed="false">
      <c r="A26" s="35" t="s">
        <v>13</v>
      </c>
      <c r="B26" s="36" t="s">
        <v>31</v>
      </c>
      <c r="C26" s="37" t="n">
        <v>14</v>
      </c>
      <c r="D26" s="37" t="n">
        <f aca="false">ROUND('Emot.Erk'!G25/100*14,1)</f>
        <v>0</v>
      </c>
      <c r="E26" s="37" t="n">
        <f aca="false">14-D26</f>
        <v>14</v>
      </c>
      <c r="F26" s="38" t="n">
        <f aca="false">'Emot.Erk'!G25</f>
        <v>0</v>
      </c>
      <c r="G26" s="37" t="str">
        <f aca="false">IF(F26&gt;=80,"🌟",IF(F26&gt;=65,"✅",IF(F26&gt;=50,"⚠️","❌")))</f>
        <v>❌</v>
      </c>
    </row>
    <row r="27" customFormat="false" ht="21.75" hidden="false" customHeight="true" outlineLevel="0" collapsed="false">
      <c r="A27" s="35" t="s">
        <v>13</v>
      </c>
      <c r="B27" s="36" t="s">
        <v>32</v>
      </c>
      <c r="C27" s="37" t="n">
        <v>14</v>
      </c>
      <c r="D27" s="37" t="n">
        <f aca="false">ROUND(Sozial!G23/100*14,1)</f>
        <v>0</v>
      </c>
      <c r="E27" s="37" t="n">
        <f aca="false">14-D27</f>
        <v>14</v>
      </c>
      <c r="F27" s="38" t="n">
        <f aca="false">Sozial!G23</f>
        <v>0</v>
      </c>
      <c r="G27" s="37" t="str">
        <f aca="false">IF(F27&gt;=80,"🌟",IF(F27&gt;=65,"✅",IF(F27&gt;=50,"⚠️","❌")))</f>
        <v>❌</v>
      </c>
    </row>
    <row r="30" customFormat="false" ht="19.5" hidden="false" customHeight="true" outlineLevel="0" collapsed="false">
      <c r="A30" s="2" t="s">
        <v>33</v>
      </c>
      <c r="B30" s="2"/>
      <c r="C30" s="2"/>
      <c r="D30" s="2"/>
      <c r="E30" s="2"/>
      <c r="F30" s="2"/>
      <c r="G30" s="2"/>
      <c r="H30" s="39" t="n">
        <f aca="false">((Bio!F50/100*40)+(Chem!F34/100*24)+(Phys!F28/100*18)+(Math!F22/100*12))/94*100</f>
        <v>0</v>
      </c>
    </row>
    <row r="31" customFormat="false" ht="19.5" hidden="false" customHeight="true" outlineLevel="0" collapsed="false">
      <c r="A31" s="2" t="s">
        <v>34</v>
      </c>
      <c r="B31" s="2"/>
      <c r="C31" s="2"/>
      <c r="D31" s="2"/>
      <c r="E31" s="2"/>
      <c r="F31" s="2"/>
      <c r="G31" s="2"/>
      <c r="H31" s="39" t="n">
        <f aca="false">((TV!F22/100*12))/12*100</f>
        <v>0</v>
      </c>
    </row>
    <row r="32" customFormat="false" ht="15" hidden="false" customHeight="false" outlineLevel="0" collapsed="false">
      <c r="H32" s="39" t="n">
        <f aca="false">((Figuren!F25/100*15)+(Allergie!F35/100*25)+(Zahlen!F20/100*10)+(Wort!F25/100*15)+(Implik!F20/100*10))/75*100</f>
        <v>0</v>
      </c>
    </row>
    <row r="33" customFormat="false" ht="15" hidden="false" customHeight="false" outlineLevel="0" collapsed="false">
      <c r="H33" s="39" t="n">
        <f aca="false">(('Emot.Reg'!F22/100*12)+('Emot.Erk'!G25/100*14)+(Sozial!G23/100*14))/40*100</f>
        <v>0</v>
      </c>
    </row>
    <row r="34" customFormat="false" ht="15" hidden="false" customHeight="false" outlineLevel="0" collapsed="false">
      <c r="H34" s="39" t="n">
        <f aca="false">(H30*40+H31*10+H32*40+H33*10)/100</f>
        <v>0</v>
      </c>
    </row>
  </sheetData>
  <mergeCells count="7">
    <mergeCell ref="A1:G1"/>
    <mergeCell ref="A2:G2"/>
    <mergeCell ref="A4:G4"/>
    <mergeCell ref="B11:C11"/>
    <mergeCell ref="A13:G13"/>
    <mergeCell ref="A30:G30"/>
    <mergeCell ref="A31:G31"/>
  </mergeCells>
  <conditionalFormatting sqref="F15">
    <cfRule type="expression" priority="2" aboveAverage="0" equalAverage="0" bottom="0" percent="0" rank="0" text="" dxfId="0">
      <formula>F15&gt;=80</formula>
    </cfRule>
    <cfRule type="expression" priority="3" aboveAverage="0" equalAverage="0" bottom="0" percent="0" rank="0" text="" dxfId="1">
      <formula>AND(F15&gt;=50,F15&lt;80)</formula>
    </cfRule>
    <cfRule type="expression" priority="4" aboveAverage="0" equalAverage="0" bottom="0" percent="0" rank="0" text="" dxfId="2">
      <formula>AND(F15&gt;0,F15&lt;50)</formula>
    </cfRule>
  </conditionalFormatting>
  <conditionalFormatting sqref="F16">
    <cfRule type="expression" priority="5" aboveAverage="0" equalAverage="0" bottom="0" percent="0" rank="0" text="" dxfId="0">
      <formula>F16&gt;=80</formula>
    </cfRule>
    <cfRule type="expression" priority="6" aboveAverage="0" equalAverage="0" bottom="0" percent="0" rank="0" text="" dxfId="1">
      <formula>AND(F16&gt;=50,F16&lt;80)</formula>
    </cfRule>
    <cfRule type="expression" priority="7" aboveAverage="0" equalAverage="0" bottom="0" percent="0" rank="0" text="" dxfId="2">
      <formula>AND(F16&gt;0,F16&lt;50)</formula>
    </cfRule>
  </conditionalFormatting>
  <conditionalFormatting sqref="F17">
    <cfRule type="expression" priority="8" aboveAverage="0" equalAverage="0" bottom="0" percent="0" rank="0" text="" dxfId="0">
      <formula>F17&gt;=80</formula>
    </cfRule>
    <cfRule type="expression" priority="9" aboveAverage="0" equalAverage="0" bottom="0" percent="0" rank="0" text="" dxfId="1">
      <formula>AND(F17&gt;=50,F17&lt;80)</formula>
    </cfRule>
    <cfRule type="expression" priority="10" aboveAverage="0" equalAverage="0" bottom="0" percent="0" rank="0" text="" dxfId="2">
      <formula>AND(F17&gt;0,F17&lt;50)</formula>
    </cfRule>
  </conditionalFormatting>
  <conditionalFormatting sqref="F18">
    <cfRule type="expression" priority="11" aboveAverage="0" equalAverage="0" bottom="0" percent="0" rank="0" text="" dxfId="0">
      <formula>F18&gt;=80</formula>
    </cfRule>
    <cfRule type="expression" priority="12" aboveAverage="0" equalAverage="0" bottom="0" percent="0" rank="0" text="" dxfId="1">
      <formula>AND(F18&gt;=50,F18&lt;80)</formula>
    </cfRule>
    <cfRule type="expression" priority="13" aboveAverage="0" equalAverage="0" bottom="0" percent="0" rank="0" text="" dxfId="2">
      <formula>AND(F18&gt;0,F18&lt;50)</formula>
    </cfRule>
  </conditionalFormatting>
  <conditionalFormatting sqref="F19">
    <cfRule type="expression" priority="14" aboveAverage="0" equalAverage="0" bottom="0" percent="0" rank="0" text="" dxfId="0">
      <formula>F19&gt;=80</formula>
    </cfRule>
    <cfRule type="expression" priority="15" aboveAverage="0" equalAverage="0" bottom="0" percent="0" rank="0" text="" dxfId="1">
      <formula>AND(F19&gt;=50,F19&lt;80)</formula>
    </cfRule>
    <cfRule type="expression" priority="16" aboveAverage="0" equalAverage="0" bottom="0" percent="0" rank="0" text="" dxfId="2">
      <formula>AND(F19&gt;0,F19&lt;50)</formula>
    </cfRule>
  </conditionalFormatting>
  <conditionalFormatting sqref="F20">
    <cfRule type="expression" priority="17" aboveAverage="0" equalAverage="0" bottom="0" percent="0" rank="0" text="" dxfId="0">
      <formula>F20&gt;=80</formula>
    </cfRule>
    <cfRule type="expression" priority="18" aboveAverage="0" equalAverage="0" bottom="0" percent="0" rank="0" text="" dxfId="1">
      <formula>AND(F20&gt;=50,F20&lt;80)</formula>
    </cfRule>
    <cfRule type="expression" priority="19" aboveAverage="0" equalAverage="0" bottom="0" percent="0" rank="0" text="" dxfId="2">
      <formula>AND(F20&gt;0,F20&lt;50)</formula>
    </cfRule>
  </conditionalFormatting>
  <conditionalFormatting sqref="F21">
    <cfRule type="expression" priority="20" aboveAverage="0" equalAverage="0" bottom="0" percent="0" rank="0" text="" dxfId="0">
      <formula>F21&gt;=80</formula>
    </cfRule>
    <cfRule type="expression" priority="21" aboveAverage="0" equalAverage="0" bottom="0" percent="0" rank="0" text="" dxfId="1">
      <formula>AND(F21&gt;=50,F21&lt;80)</formula>
    </cfRule>
    <cfRule type="expression" priority="22" aboveAverage="0" equalAverage="0" bottom="0" percent="0" rank="0" text="" dxfId="2">
      <formula>AND(F21&gt;0,F21&lt;50)</formula>
    </cfRule>
  </conditionalFormatting>
  <conditionalFormatting sqref="F22">
    <cfRule type="expression" priority="23" aboveAverage="0" equalAverage="0" bottom="0" percent="0" rank="0" text="" dxfId="0">
      <formula>F22&gt;=80</formula>
    </cfRule>
    <cfRule type="expression" priority="24" aboveAverage="0" equalAverage="0" bottom="0" percent="0" rank="0" text="" dxfId="1">
      <formula>AND(F22&gt;=50,F22&lt;80)</formula>
    </cfRule>
    <cfRule type="expression" priority="25" aboveAverage="0" equalAverage="0" bottom="0" percent="0" rank="0" text="" dxfId="2">
      <formula>AND(F22&gt;0,F22&lt;50)</formula>
    </cfRule>
  </conditionalFormatting>
  <conditionalFormatting sqref="F23">
    <cfRule type="expression" priority="26" aboveAverage="0" equalAverage="0" bottom="0" percent="0" rank="0" text="" dxfId="0">
      <formula>F23&gt;=80</formula>
    </cfRule>
    <cfRule type="expression" priority="27" aboveAverage="0" equalAverage="0" bottom="0" percent="0" rank="0" text="" dxfId="1">
      <formula>AND(F23&gt;=50,F23&lt;80)</formula>
    </cfRule>
    <cfRule type="expression" priority="28" aboveAverage="0" equalAverage="0" bottom="0" percent="0" rank="0" text="" dxfId="2">
      <formula>AND(F23&gt;0,F23&lt;50)</formula>
    </cfRule>
  </conditionalFormatting>
  <conditionalFormatting sqref="F24">
    <cfRule type="expression" priority="29" aboveAverage="0" equalAverage="0" bottom="0" percent="0" rank="0" text="" dxfId="0">
      <formula>F24&gt;=80</formula>
    </cfRule>
    <cfRule type="expression" priority="30" aboveAverage="0" equalAverage="0" bottom="0" percent="0" rank="0" text="" dxfId="1">
      <formula>AND(F24&gt;=50,F24&lt;80)</formula>
    </cfRule>
    <cfRule type="expression" priority="31" aboveAverage="0" equalAverage="0" bottom="0" percent="0" rank="0" text="" dxfId="2">
      <formula>AND(F24&gt;0,F24&lt;50)</formula>
    </cfRule>
  </conditionalFormatting>
  <conditionalFormatting sqref="F25">
    <cfRule type="expression" priority="32" aboveAverage="0" equalAverage="0" bottom="0" percent="0" rank="0" text="" dxfId="0">
      <formula>F25&gt;=80</formula>
    </cfRule>
    <cfRule type="expression" priority="33" aboveAverage="0" equalAverage="0" bottom="0" percent="0" rank="0" text="" dxfId="1">
      <formula>AND(F25&gt;=50,F25&lt;80)</formula>
    </cfRule>
    <cfRule type="expression" priority="34" aboveAverage="0" equalAverage="0" bottom="0" percent="0" rank="0" text="" dxfId="2">
      <formula>AND(F25&gt;0,F25&lt;50)</formula>
    </cfRule>
  </conditionalFormatting>
  <conditionalFormatting sqref="F26">
    <cfRule type="expression" priority="35" aboveAverage="0" equalAverage="0" bottom="0" percent="0" rank="0" text="" dxfId="0">
      <formula>F26&gt;=80</formula>
    </cfRule>
    <cfRule type="expression" priority="36" aboveAverage="0" equalAverage="0" bottom="0" percent="0" rank="0" text="" dxfId="1">
      <formula>AND(F26&gt;=50,F26&lt;80)</formula>
    </cfRule>
    <cfRule type="expression" priority="37" aboveAverage="0" equalAverage="0" bottom="0" percent="0" rank="0" text="" dxfId="2">
      <formula>AND(F26&gt;0,F26&lt;50)</formula>
    </cfRule>
  </conditionalFormatting>
  <conditionalFormatting sqref="F27">
    <cfRule type="expression" priority="38" aboveAverage="0" equalAverage="0" bottom="0" percent="0" rank="0" text="" dxfId="0">
      <formula>F27&gt;=80</formula>
    </cfRule>
    <cfRule type="expression" priority="39" aboveAverage="0" equalAverage="0" bottom="0" percent="0" rank="0" text="" dxfId="1">
      <formula>AND(F27&gt;=50,F27&lt;80)</formula>
    </cfRule>
    <cfRule type="expression" priority="40" aboveAverage="0" equalAverage="0" bottom="0" percent="0" rank="0" text="" dxfId="2">
      <formula>AND(F27&gt;0,F27&lt;50)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24"/>
  </cols>
  <sheetData>
    <row r="1" customFormat="false" ht="36" hidden="false" customHeight="true" outlineLevel="0" collapsed="false">
      <c r="A1" s="40" t="s">
        <v>35</v>
      </c>
      <c r="B1" s="40"/>
      <c r="C1" s="40"/>
      <c r="D1" s="40"/>
      <c r="E1" s="40"/>
    </row>
    <row r="2" customFormat="false" ht="18" hidden="false" customHeight="true" outlineLevel="0" collapsed="false">
      <c r="A2" s="41" t="s">
        <v>36</v>
      </c>
      <c r="B2" s="41"/>
      <c r="C2" s="41"/>
      <c r="D2" s="41"/>
      <c r="E2" s="41"/>
    </row>
    <row r="3" customFormat="false" ht="21.75" hidden="false" customHeight="true" outlineLevel="0" collapsed="false">
      <c r="A3" s="4" t="s">
        <v>37</v>
      </c>
      <c r="B3" s="4" t="s">
        <v>38</v>
      </c>
      <c r="C3" s="4" t="s">
        <v>39</v>
      </c>
      <c r="D3" s="4" t="s">
        <v>40</v>
      </c>
      <c r="E3" s="4" t="s">
        <v>41</v>
      </c>
    </row>
    <row r="4" customFormat="false" ht="19.5" hidden="false" customHeight="true" outlineLevel="0" collapsed="false">
      <c r="A4" s="42" t="n">
        <v>1</v>
      </c>
      <c r="B4" s="43"/>
      <c r="C4" s="43"/>
      <c r="D4" s="44" t="str">
        <f aca="false">IF(AND(B4&lt;&gt;"",C4&lt;&gt;""),IF(EXACT(B4,C4),"✔","✗"),"")</f>
        <v/>
      </c>
      <c r="E4" s="45"/>
    </row>
    <row r="5" customFormat="false" ht="19.5" hidden="false" customHeight="true" outlineLevel="0" collapsed="false">
      <c r="A5" s="46" t="n">
        <v>2</v>
      </c>
      <c r="B5" s="47"/>
      <c r="C5" s="47"/>
      <c r="D5" s="48" t="str">
        <f aca="false">IF(AND(B5&lt;&gt;"",C5&lt;&gt;""),IF(EXACT(B5,C5),"✔","✗"),"")</f>
        <v/>
      </c>
      <c r="E5" s="49"/>
    </row>
    <row r="6" customFormat="false" ht="19.5" hidden="false" customHeight="true" outlineLevel="0" collapsed="false">
      <c r="A6" s="42" t="n">
        <v>3</v>
      </c>
      <c r="B6" s="43"/>
      <c r="C6" s="43"/>
      <c r="D6" s="44" t="str">
        <f aca="false">IF(AND(B6&lt;&gt;"",C6&lt;&gt;""),IF(EXACT(B6,C6),"✔","✗"),"")</f>
        <v/>
      </c>
      <c r="E6" s="45"/>
    </row>
    <row r="7" customFormat="false" ht="19.5" hidden="false" customHeight="true" outlineLevel="0" collapsed="false">
      <c r="A7" s="46" t="n">
        <v>4</v>
      </c>
      <c r="B7" s="47"/>
      <c r="C7" s="47"/>
      <c r="D7" s="48" t="str">
        <f aca="false">IF(AND(B7&lt;&gt;"",C7&lt;&gt;""),IF(EXACT(B7,C7),"✔","✗"),"")</f>
        <v/>
      </c>
      <c r="E7" s="49"/>
    </row>
    <row r="8" customFormat="false" ht="19.5" hidden="false" customHeight="true" outlineLevel="0" collapsed="false">
      <c r="A8" s="42" t="n">
        <v>5</v>
      </c>
      <c r="B8" s="43"/>
      <c r="C8" s="43"/>
      <c r="D8" s="44" t="str">
        <f aca="false">IF(AND(B8&lt;&gt;"",C8&lt;&gt;""),IF(EXACT(B8,C8),"✔","✗"),"")</f>
        <v/>
      </c>
      <c r="E8" s="45"/>
    </row>
    <row r="9" customFormat="false" ht="19.5" hidden="false" customHeight="true" outlineLevel="0" collapsed="false">
      <c r="A9" s="46" t="n">
        <v>6</v>
      </c>
      <c r="B9" s="47"/>
      <c r="C9" s="47"/>
      <c r="D9" s="48" t="str">
        <f aca="false">IF(AND(B9&lt;&gt;"",C9&lt;&gt;""),IF(EXACT(B9,C9),"✔","✗"),"")</f>
        <v/>
      </c>
      <c r="E9" s="49"/>
    </row>
    <row r="10" customFormat="false" ht="19.5" hidden="false" customHeight="true" outlineLevel="0" collapsed="false">
      <c r="A10" s="42" t="n">
        <v>7</v>
      </c>
      <c r="B10" s="43"/>
      <c r="C10" s="43"/>
      <c r="D10" s="44" t="str">
        <f aca="false">IF(AND(B10&lt;&gt;"",C10&lt;&gt;""),IF(EXACT(B10,C10),"✔","✗"),"")</f>
        <v/>
      </c>
      <c r="E10" s="45"/>
    </row>
    <row r="11" customFormat="false" ht="19.5" hidden="false" customHeight="true" outlineLevel="0" collapsed="false">
      <c r="A11" s="46" t="n">
        <v>8</v>
      </c>
      <c r="B11" s="47"/>
      <c r="C11" s="47"/>
      <c r="D11" s="48" t="str">
        <f aca="false">IF(AND(B11&lt;&gt;"",C11&lt;&gt;""),IF(EXACT(B11,C11),"✔","✗"),"")</f>
        <v/>
      </c>
      <c r="E11" s="49"/>
    </row>
    <row r="12" customFormat="false" ht="19.5" hidden="false" customHeight="true" outlineLevel="0" collapsed="false">
      <c r="A12" s="42" t="n">
        <v>9</v>
      </c>
      <c r="B12" s="43"/>
      <c r="C12" s="43"/>
      <c r="D12" s="44" t="str">
        <f aca="false">IF(AND(B12&lt;&gt;"",C12&lt;&gt;""),IF(EXACT(B12,C12),"✔","✗"),"")</f>
        <v/>
      </c>
      <c r="E12" s="45"/>
    </row>
    <row r="13" customFormat="false" ht="19.5" hidden="false" customHeight="true" outlineLevel="0" collapsed="false">
      <c r="A13" s="46" t="n">
        <v>10</v>
      </c>
      <c r="B13" s="47"/>
      <c r="C13" s="47"/>
      <c r="D13" s="48" t="str">
        <f aca="false">IF(AND(B13&lt;&gt;"",C13&lt;&gt;""),IF(EXACT(B13,C13),"✔","✗"),"")</f>
        <v/>
      </c>
      <c r="E13" s="49"/>
    </row>
    <row r="14" customFormat="false" ht="19.5" hidden="false" customHeight="true" outlineLevel="0" collapsed="false">
      <c r="A14" s="42" t="n">
        <v>11</v>
      </c>
      <c r="B14" s="43"/>
      <c r="C14" s="43"/>
      <c r="D14" s="44" t="str">
        <f aca="false">IF(AND(B14&lt;&gt;"",C14&lt;&gt;""),IF(EXACT(B14,C14),"✔","✗"),"")</f>
        <v/>
      </c>
      <c r="E14" s="45"/>
    </row>
    <row r="15" customFormat="false" ht="19.5" hidden="false" customHeight="true" outlineLevel="0" collapsed="false">
      <c r="A15" s="46" t="n">
        <v>12</v>
      </c>
      <c r="B15" s="47"/>
      <c r="C15" s="47"/>
      <c r="D15" s="48" t="str">
        <f aca="false">IF(AND(B15&lt;&gt;"",C15&lt;&gt;""),IF(EXACT(B15,C15),"✔","✗"),"")</f>
        <v/>
      </c>
      <c r="E15" s="49"/>
    </row>
    <row r="16" customFormat="false" ht="19.5" hidden="false" customHeight="true" outlineLevel="0" collapsed="false">
      <c r="A16" s="42" t="n">
        <v>13</v>
      </c>
      <c r="B16" s="43"/>
      <c r="C16" s="43"/>
      <c r="D16" s="44" t="str">
        <f aca="false">IF(AND(B16&lt;&gt;"",C16&lt;&gt;""),IF(EXACT(B16,C16),"✔","✗"),"")</f>
        <v/>
      </c>
      <c r="E16" s="45"/>
    </row>
    <row r="17" customFormat="false" ht="19.5" hidden="false" customHeight="true" outlineLevel="0" collapsed="false">
      <c r="A17" s="46" t="n">
        <v>14</v>
      </c>
      <c r="B17" s="47"/>
      <c r="C17" s="47"/>
      <c r="D17" s="48" t="str">
        <f aca="false">IF(AND(B17&lt;&gt;"",C17&lt;&gt;""),IF(EXACT(B17,C17),"✔","✗"),"")</f>
        <v/>
      </c>
      <c r="E17" s="49"/>
    </row>
    <row r="18" customFormat="false" ht="19.5" hidden="false" customHeight="true" outlineLevel="0" collapsed="false">
      <c r="A18" s="42" t="n">
        <v>15</v>
      </c>
      <c r="B18" s="43"/>
      <c r="C18" s="43"/>
      <c r="D18" s="44" t="str">
        <f aca="false">IF(AND(B18&lt;&gt;"",C18&lt;&gt;""),IF(EXACT(B18,C18),"✔","✗"),"")</f>
        <v/>
      </c>
      <c r="E18" s="45"/>
    </row>
    <row r="19" customFormat="false" ht="19.5" hidden="false" customHeight="true" outlineLevel="0" collapsed="false">
      <c r="A19" s="46" t="n">
        <v>16</v>
      </c>
      <c r="B19" s="47"/>
      <c r="C19" s="47"/>
      <c r="D19" s="48" t="str">
        <f aca="false">IF(AND(B19&lt;&gt;"",C19&lt;&gt;""),IF(EXACT(B19,C19),"✔","✗"),"")</f>
        <v/>
      </c>
      <c r="E19" s="49"/>
    </row>
    <row r="20" customFormat="false" ht="19.5" hidden="false" customHeight="true" outlineLevel="0" collapsed="false">
      <c r="A20" s="42" t="n">
        <v>17</v>
      </c>
      <c r="B20" s="43"/>
      <c r="C20" s="43"/>
      <c r="D20" s="44" t="str">
        <f aca="false">IF(AND(B20&lt;&gt;"",C20&lt;&gt;""),IF(EXACT(B20,C20),"✔","✗"),"")</f>
        <v/>
      </c>
      <c r="E20" s="45"/>
    </row>
    <row r="21" customFormat="false" ht="19.5" hidden="false" customHeight="true" outlineLevel="0" collapsed="false">
      <c r="A21" s="46" t="n">
        <v>18</v>
      </c>
      <c r="B21" s="47"/>
      <c r="C21" s="47"/>
      <c r="D21" s="48" t="str">
        <f aca="false">IF(AND(B21&lt;&gt;"",C21&lt;&gt;""),IF(EXACT(B21,C21),"✔","✗"),"")</f>
        <v/>
      </c>
      <c r="E21" s="49"/>
    </row>
    <row r="22" customFormat="false" ht="19.5" hidden="false" customHeight="true" outlineLevel="0" collapsed="false">
      <c r="A22" s="42" t="n">
        <v>19</v>
      </c>
      <c r="B22" s="43"/>
      <c r="C22" s="43"/>
      <c r="D22" s="44" t="str">
        <f aca="false">IF(AND(B22&lt;&gt;"",C22&lt;&gt;""),IF(EXACT(B22,C22),"✔","✗"),"")</f>
        <v/>
      </c>
      <c r="E22" s="45"/>
    </row>
    <row r="23" customFormat="false" ht="19.5" hidden="false" customHeight="true" outlineLevel="0" collapsed="false">
      <c r="A23" s="46" t="n">
        <v>20</v>
      </c>
      <c r="B23" s="47"/>
      <c r="C23" s="47"/>
      <c r="D23" s="48" t="str">
        <f aca="false">IF(AND(B23&lt;&gt;"",C23&lt;&gt;""),IF(EXACT(B23,C23),"✔","✗"),"")</f>
        <v/>
      </c>
      <c r="E23" s="49"/>
    </row>
    <row r="24" customFormat="false" ht="19.5" hidden="false" customHeight="true" outlineLevel="0" collapsed="false">
      <c r="A24" s="42" t="n">
        <v>21</v>
      </c>
      <c r="B24" s="43"/>
      <c r="C24" s="43"/>
      <c r="D24" s="44" t="str">
        <f aca="false">IF(AND(B24&lt;&gt;"",C24&lt;&gt;""),IF(EXACT(B24,C24),"✔","✗"),"")</f>
        <v/>
      </c>
      <c r="E24" s="45"/>
    </row>
    <row r="25" customFormat="false" ht="19.5" hidden="false" customHeight="true" outlineLevel="0" collapsed="false">
      <c r="A25" s="46" t="n">
        <v>22</v>
      </c>
      <c r="B25" s="47"/>
      <c r="C25" s="47"/>
      <c r="D25" s="48" t="str">
        <f aca="false">IF(AND(B25&lt;&gt;"",C25&lt;&gt;""),IF(EXACT(B25,C25),"✔","✗"),"")</f>
        <v/>
      </c>
      <c r="E25" s="49"/>
    </row>
    <row r="26" customFormat="false" ht="19.5" hidden="false" customHeight="true" outlineLevel="0" collapsed="false">
      <c r="A26" s="42" t="n">
        <v>23</v>
      </c>
      <c r="B26" s="43"/>
      <c r="C26" s="43"/>
      <c r="D26" s="44" t="str">
        <f aca="false">IF(AND(B26&lt;&gt;"",C26&lt;&gt;""),IF(EXACT(B26,C26),"✔","✗"),"")</f>
        <v/>
      </c>
      <c r="E26" s="45"/>
    </row>
    <row r="27" customFormat="false" ht="19.5" hidden="false" customHeight="true" outlineLevel="0" collapsed="false">
      <c r="A27" s="46" t="n">
        <v>24</v>
      </c>
      <c r="B27" s="47"/>
      <c r="C27" s="47"/>
      <c r="D27" s="48" t="str">
        <f aca="false">IF(AND(B27&lt;&gt;"",C27&lt;&gt;""),IF(EXACT(B27,C27),"✔","✗"),"")</f>
        <v/>
      </c>
      <c r="E27" s="49"/>
    </row>
    <row r="28" customFormat="false" ht="19.5" hidden="false" customHeight="true" outlineLevel="0" collapsed="false">
      <c r="A28" s="42" t="n">
        <v>25</v>
      </c>
      <c r="B28" s="43"/>
      <c r="C28" s="43"/>
      <c r="D28" s="44" t="str">
        <f aca="false">IF(AND(B28&lt;&gt;"",C28&lt;&gt;""),IF(EXACT(B28,C28),"✔","✗"),"")</f>
        <v/>
      </c>
      <c r="E28" s="45"/>
    </row>
    <row r="29" customFormat="false" ht="19.5" hidden="false" customHeight="true" outlineLevel="0" collapsed="false">
      <c r="A29" s="46" t="n">
        <v>26</v>
      </c>
      <c r="B29" s="47"/>
      <c r="C29" s="47"/>
      <c r="D29" s="48" t="str">
        <f aca="false">IF(AND(B29&lt;&gt;"",C29&lt;&gt;""),IF(EXACT(B29,C29),"✔","✗"),"")</f>
        <v/>
      </c>
      <c r="E29" s="49"/>
    </row>
    <row r="30" customFormat="false" ht="19.5" hidden="false" customHeight="true" outlineLevel="0" collapsed="false">
      <c r="A30" s="42" t="n">
        <v>27</v>
      </c>
      <c r="B30" s="43"/>
      <c r="C30" s="43"/>
      <c r="D30" s="44" t="str">
        <f aca="false">IF(AND(B30&lt;&gt;"",C30&lt;&gt;""),IF(EXACT(B30,C30),"✔","✗"),"")</f>
        <v/>
      </c>
      <c r="E30" s="45"/>
    </row>
    <row r="31" customFormat="false" ht="19.5" hidden="false" customHeight="true" outlineLevel="0" collapsed="false">
      <c r="A31" s="46" t="n">
        <v>28</v>
      </c>
      <c r="B31" s="47"/>
      <c r="C31" s="47"/>
      <c r="D31" s="48" t="str">
        <f aca="false">IF(AND(B31&lt;&gt;"",C31&lt;&gt;""),IF(EXACT(B31,C31),"✔","✗"),"")</f>
        <v/>
      </c>
      <c r="E31" s="49"/>
    </row>
    <row r="32" customFormat="false" ht="19.5" hidden="false" customHeight="true" outlineLevel="0" collapsed="false">
      <c r="A32" s="42" t="n">
        <v>29</v>
      </c>
      <c r="B32" s="43"/>
      <c r="C32" s="43"/>
      <c r="D32" s="44" t="str">
        <f aca="false">IF(AND(B32&lt;&gt;"",C32&lt;&gt;""),IF(EXACT(B32,C32),"✔","✗"),"")</f>
        <v/>
      </c>
      <c r="E32" s="45"/>
    </row>
    <row r="33" customFormat="false" ht="19.5" hidden="false" customHeight="true" outlineLevel="0" collapsed="false">
      <c r="A33" s="46" t="n">
        <v>30</v>
      </c>
      <c r="B33" s="47"/>
      <c r="C33" s="47"/>
      <c r="D33" s="48" t="str">
        <f aca="false">IF(AND(B33&lt;&gt;"",C33&lt;&gt;""),IF(EXACT(B33,C33),"✔","✗"),"")</f>
        <v/>
      </c>
      <c r="E33" s="49"/>
    </row>
    <row r="34" customFormat="false" ht="19.5" hidden="false" customHeight="true" outlineLevel="0" collapsed="false">
      <c r="A34" s="42" t="n">
        <v>31</v>
      </c>
      <c r="B34" s="43"/>
      <c r="C34" s="43"/>
      <c r="D34" s="44" t="str">
        <f aca="false">IF(AND(B34&lt;&gt;"",C34&lt;&gt;""),IF(EXACT(B34,C34),"✔","✗"),"")</f>
        <v/>
      </c>
      <c r="E34" s="45"/>
    </row>
    <row r="35" customFormat="false" ht="19.5" hidden="false" customHeight="true" outlineLevel="0" collapsed="false">
      <c r="A35" s="46" t="n">
        <v>32</v>
      </c>
      <c r="B35" s="47"/>
      <c r="C35" s="47"/>
      <c r="D35" s="48" t="str">
        <f aca="false">IF(AND(B35&lt;&gt;"",C35&lt;&gt;""),IF(EXACT(B35,C35),"✔","✗"),"")</f>
        <v/>
      </c>
      <c r="E35" s="49"/>
    </row>
    <row r="36" customFormat="false" ht="19.5" hidden="false" customHeight="true" outlineLevel="0" collapsed="false">
      <c r="A36" s="42" t="n">
        <v>33</v>
      </c>
      <c r="B36" s="43"/>
      <c r="C36" s="43"/>
      <c r="D36" s="44" t="str">
        <f aca="false">IF(AND(B36&lt;&gt;"",C36&lt;&gt;""),IF(EXACT(B36,C36),"✔","✗"),"")</f>
        <v/>
      </c>
      <c r="E36" s="45"/>
    </row>
    <row r="37" customFormat="false" ht="19.5" hidden="false" customHeight="true" outlineLevel="0" collapsed="false">
      <c r="A37" s="46" t="n">
        <v>34</v>
      </c>
      <c r="B37" s="47"/>
      <c r="C37" s="47"/>
      <c r="D37" s="48" t="str">
        <f aca="false">IF(AND(B37&lt;&gt;"",C37&lt;&gt;""),IF(EXACT(B37,C37),"✔","✗"),"")</f>
        <v/>
      </c>
      <c r="E37" s="49"/>
    </row>
    <row r="38" customFormat="false" ht="19.5" hidden="false" customHeight="true" outlineLevel="0" collapsed="false">
      <c r="A38" s="42" t="n">
        <v>35</v>
      </c>
      <c r="B38" s="43"/>
      <c r="C38" s="43"/>
      <c r="D38" s="44" t="str">
        <f aca="false">IF(AND(B38&lt;&gt;"",C38&lt;&gt;""),IF(EXACT(B38,C38),"✔","✗"),"")</f>
        <v/>
      </c>
      <c r="E38" s="45"/>
    </row>
    <row r="39" customFormat="false" ht="19.5" hidden="false" customHeight="true" outlineLevel="0" collapsed="false">
      <c r="A39" s="46" t="n">
        <v>36</v>
      </c>
      <c r="B39" s="47"/>
      <c r="C39" s="47"/>
      <c r="D39" s="48" t="str">
        <f aca="false">IF(AND(B39&lt;&gt;"",C39&lt;&gt;""),IF(EXACT(B39,C39),"✔","✗"),"")</f>
        <v/>
      </c>
      <c r="E39" s="49"/>
    </row>
    <row r="40" customFormat="false" ht="19.5" hidden="false" customHeight="true" outlineLevel="0" collapsed="false">
      <c r="A40" s="42" t="n">
        <v>37</v>
      </c>
      <c r="B40" s="43"/>
      <c r="C40" s="43"/>
      <c r="D40" s="44" t="str">
        <f aca="false">IF(AND(B40&lt;&gt;"",C40&lt;&gt;""),IF(EXACT(B40,C40),"✔","✗"),"")</f>
        <v/>
      </c>
      <c r="E40" s="45"/>
    </row>
    <row r="41" customFormat="false" ht="19.5" hidden="false" customHeight="true" outlineLevel="0" collapsed="false">
      <c r="A41" s="46" t="n">
        <v>38</v>
      </c>
      <c r="B41" s="47"/>
      <c r="C41" s="47"/>
      <c r="D41" s="48" t="str">
        <f aca="false">IF(AND(B41&lt;&gt;"",C41&lt;&gt;""),IF(EXACT(B41,C41),"✔","✗"),"")</f>
        <v/>
      </c>
      <c r="E41" s="49"/>
    </row>
    <row r="42" customFormat="false" ht="19.5" hidden="false" customHeight="true" outlineLevel="0" collapsed="false">
      <c r="A42" s="42" t="n">
        <v>39</v>
      </c>
      <c r="B42" s="43"/>
      <c r="C42" s="43"/>
      <c r="D42" s="44" t="str">
        <f aca="false">IF(AND(B42&lt;&gt;"",C42&lt;&gt;""),IF(EXACT(B42,C42),"✔","✗"),"")</f>
        <v/>
      </c>
      <c r="E42" s="45"/>
    </row>
    <row r="43" customFormat="false" ht="19.5" hidden="false" customHeight="true" outlineLevel="0" collapsed="false">
      <c r="A43" s="46" t="n">
        <v>40</v>
      </c>
      <c r="B43" s="47"/>
      <c r="C43" s="47"/>
      <c r="D43" s="48" t="str">
        <f aca="false">IF(AND(B43&lt;&gt;"",C43&lt;&gt;""),IF(EXACT(B43,C43),"✔","✗"),"")</f>
        <v/>
      </c>
      <c r="E43" s="49"/>
    </row>
    <row r="44" customFormat="false" ht="6" hidden="false" customHeight="true" outlineLevel="0" collapsed="false"/>
    <row r="45" customFormat="false" ht="21.75" hidden="false" customHeight="true" outlineLevel="0" collapsed="false">
      <c r="A45" s="50" t="s">
        <v>42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</row>
    <row r="46" customFormat="false" ht="19.5" hidden="false" customHeight="true" outlineLevel="0" collapsed="false">
      <c r="A46" s="51" t="s">
        <v>43</v>
      </c>
      <c r="B46" s="51"/>
      <c r="C46" s="51"/>
      <c r="D46" s="51"/>
      <c r="E46" s="51"/>
      <c r="F46" s="52" t="n">
        <v>40</v>
      </c>
      <c r="G46" s="52"/>
      <c r="H46" s="52"/>
      <c r="I46" s="52"/>
      <c r="J46" s="52"/>
      <c r="K46" s="52"/>
    </row>
    <row r="47" customFormat="false" ht="19.5" hidden="false" customHeight="true" outlineLevel="0" collapsed="false">
      <c r="A47" s="51" t="s">
        <v>44</v>
      </c>
      <c r="B47" s="51"/>
      <c r="C47" s="51"/>
      <c r="D47" s="51"/>
      <c r="E47" s="51"/>
      <c r="F47" s="52" t="n">
        <f aca="false">COUNTIF(B4:B43,"&lt;&gt;"&amp;"")</f>
        <v>0</v>
      </c>
      <c r="G47" s="52"/>
      <c r="H47" s="52"/>
      <c r="I47" s="52"/>
      <c r="J47" s="52"/>
      <c r="K47" s="52"/>
    </row>
    <row r="48" customFormat="false" ht="19.5" hidden="false" customHeight="true" outlineLevel="0" collapsed="false">
      <c r="A48" s="51" t="s">
        <v>45</v>
      </c>
      <c r="B48" s="51"/>
      <c r="C48" s="51"/>
      <c r="D48" s="51"/>
      <c r="E48" s="51"/>
      <c r="F48" s="52" t="n">
        <f aca="false">COUNTIF(D4:D43,"✔")</f>
        <v>0</v>
      </c>
      <c r="G48" s="52"/>
      <c r="H48" s="52"/>
      <c r="I48" s="52"/>
      <c r="J48" s="52"/>
      <c r="K48" s="52"/>
    </row>
    <row r="49" customFormat="false" ht="19.5" hidden="false" customHeight="true" outlineLevel="0" collapsed="false">
      <c r="A49" s="51" t="s">
        <v>46</v>
      </c>
      <c r="B49" s="51"/>
      <c r="C49" s="51"/>
      <c r="D49" s="51"/>
      <c r="E49" s="51"/>
      <c r="F49" s="52" t="n">
        <f aca="false">COUNTIF(D4:D43,"✗")</f>
        <v>0</v>
      </c>
      <c r="G49" s="52"/>
      <c r="H49" s="52"/>
      <c r="I49" s="52"/>
      <c r="J49" s="52"/>
      <c r="K49" s="52"/>
    </row>
    <row r="50" customFormat="false" ht="19.5" hidden="false" customHeight="true" outlineLevel="0" collapsed="false">
      <c r="A50" s="51" t="s">
        <v>5</v>
      </c>
      <c r="B50" s="51"/>
      <c r="C50" s="51"/>
      <c r="D50" s="51"/>
      <c r="E50" s="51"/>
      <c r="F50" s="53" t="n">
        <f aca="false">IFERROR(F48/40*100,0)</f>
        <v>0</v>
      </c>
      <c r="G50" s="53"/>
      <c r="H50" s="53"/>
      <c r="I50" s="53"/>
      <c r="J50" s="53"/>
      <c r="K50" s="53"/>
    </row>
  </sheetData>
  <mergeCells count="13">
    <mergeCell ref="A1:E1"/>
    <mergeCell ref="A2:E2"/>
    <mergeCell ref="A45:K45"/>
    <mergeCell ref="A46:E46"/>
    <mergeCell ref="F46:K46"/>
    <mergeCell ref="A47:E47"/>
    <mergeCell ref="F47:K47"/>
    <mergeCell ref="A48:E48"/>
    <mergeCell ref="F48:K48"/>
    <mergeCell ref="A49:E49"/>
    <mergeCell ref="F49:K49"/>
    <mergeCell ref="A50:E50"/>
    <mergeCell ref="F50:K50"/>
  </mergeCells>
  <conditionalFormatting sqref="D4:D43">
    <cfRule type="expression" priority="2" aboveAverage="0" equalAverage="0" bottom="0" percent="0" rank="0" text="" dxfId="0">
      <formula>D4="✔"</formula>
    </cfRule>
    <cfRule type="expression" priority="3" aboveAverage="0" equalAverage="0" bottom="0" percent="0" rank="0" text="" dxfId="2">
      <formula>D4="✗"</formula>
    </cfRule>
  </conditionalFormatting>
  <dataValidations count="2">
    <dataValidation allowBlank="true" errorStyle="stop" operator="between" showDropDown="false" showErrorMessage="false" showInputMessage="false" sqref="B4:B43" type="list">
      <formula1>"A,B,C,D,E"</formula1>
      <formula2>0</formula2>
    </dataValidation>
    <dataValidation allowBlank="true" errorStyle="stop" operator="between" showDropDown="false" showErrorMessage="false" showInputMessage="false" sqref="C4:C43" type="list">
      <formula1>"A,B,C,D,E"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24"/>
  </cols>
  <sheetData>
    <row r="1" customFormat="false" ht="36" hidden="false" customHeight="true" outlineLevel="0" collapsed="false">
      <c r="A1" s="40" t="s">
        <v>47</v>
      </c>
      <c r="B1" s="40"/>
      <c r="C1" s="40"/>
      <c r="D1" s="40"/>
      <c r="E1" s="40"/>
    </row>
    <row r="2" customFormat="false" ht="18" hidden="false" customHeight="true" outlineLevel="0" collapsed="false">
      <c r="A2" s="41" t="s">
        <v>36</v>
      </c>
      <c r="B2" s="41"/>
      <c r="C2" s="41"/>
      <c r="D2" s="41"/>
      <c r="E2" s="41"/>
    </row>
    <row r="3" customFormat="false" ht="21.75" hidden="false" customHeight="true" outlineLevel="0" collapsed="false">
      <c r="A3" s="4" t="s">
        <v>37</v>
      </c>
      <c r="B3" s="4" t="s">
        <v>38</v>
      </c>
      <c r="C3" s="4" t="s">
        <v>39</v>
      </c>
      <c r="D3" s="4" t="s">
        <v>40</v>
      </c>
      <c r="E3" s="4" t="s">
        <v>41</v>
      </c>
    </row>
    <row r="4" customFormat="false" ht="19.5" hidden="false" customHeight="true" outlineLevel="0" collapsed="false">
      <c r="A4" s="42" t="n">
        <v>1</v>
      </c>
      <c r="B4" s="43"/>
      <c r="C4" s="43"/>
      <c r="D4" s="44" t="str">
        <f aca="false">IF(AND(B4&lt;&gt;"",C4&lt;&gt;""),IF(EXACT(B4,C4),"✔","✗"),"")</f>
        <v/>
      </c>
      <c r="E4" s="45"/>
    </row>
    <row r="5" customFormat="false" ht="19.5" hidden="false" customHeight="true" outlineLevel="0" collapsed="false">
      <c r="A5" s="46" t="n">
        <v>2</v>
      </c>
      <c r="B5" s="47"/>
      <c r="C5" s="47"/>
      <c r="D5" s="48" t="str">
        <f aca="false">IF(AND(B5&lt;&gt;"",C5&lt;&gt;""),IF(EXACT(B5,C5),"✔","✗"),"")</f>
        <v/>
      </c>
      <c r="E5" s="49"/>
    </row>
    <row r="6" customFormat="false" ht="19.5" hidden="false" customHeight="true" outlineLevel="0" collapsed="false">
      <c r="A6" s="42" t="n">
        <v>3</v>
      </c>
      <c r="B6" s="43"/>
      <c r="C6" s="43"/>
      <c r="D6" s="44" t="str">
        <f aca="false">IF(AND(B6&lt;&gt;"",C6&lt;&gt;""),IF(EXACT(B6,C6),"✔","✗"),"")</f>
        <v/>
      </c>
      <c r="E6" s="45"/>
    </row>
    <row r="7" customFormat="false" ht="19.5" hidden="false" customHeight="true" outlineLevel="0" collapsed="false">
      <c r="A7" s="46" t="n">
        <v>4</v>
      </c>
      <c r="B7" s="47"/>
      <c r="C7" s="47"/>
      <c r="D7" s="48" t="str">
        <f aca="false">IF(AND(B7&lt;&gt;"",C7&lt;&gt;""),IF(EXACT(B7,C7),"✔","✗"),"")</f>
        <v/>
      </c>
      <c r="E7" s="49"/>
    </row>
    <row r="8" customFormat="false" ht="19.5" hidden="false" customHeight="true" outlineLevel="0" collapsed="false">
      <c r="A8" s="42" t="n">
        <v>5</v>
      </c>
      <c r="B8" s="43"/>
      <c r="C8" s="43"/>
      <c r="D8" s="44" t="str">
        <f aca="false">IF(AND(B8&lt;&gt;"",C8&lt;&gt;""),IF(EXACT(B8,C8),"✔","✗"),"")</f>
        <v/>
      </c>
      <c r="E8" s="45"/>
    </row>
    <row r="9" customFormat="false" ht="19.5" hidden="false" customHeight="true" outlineLevel="0" collapsed="false">
      <c r="A9" s="46" t="n">
        <v>6</v>
      </c>
      <c r="B9" s="47"/>
      <c r="C9" s="47"/>
      <c r="D9" s="48" t="str">
        <f aca="false">IF(AND(B9&lt;&gt;"",C9&lt;&gt;""),IF(EXACT(B9,C9),"✔","✗"),"")</f>
        <v/>
      </c>
      <c r="E9" s="49"/>
    </row>
    <row r="10" customFormat="false" ht="19.5" hidden="false" customHeight="true" outlineLevel="0" collapsed="false">
      <c r="A10" s="42" t="n">
        <v>7</v>
      </c>
      <c r="B10" s="43"/>
      <c r="C10" s="43"/>
      <c r="D10" s="44" t="str">
        <f aca="false">IF(AND(B10&lt;&gt;"",C10&lt;&gt;""),IF(EXACT(B10,C10),"✔","✗"),"")</f>
        <v/>
      </c>
      <c r="E10" s="45"/>
    </row>
    <row r="11" customFormat="false" ht="19.5" hidden="false" customHeight="true" outlineLevel="0" collapsed="false">
      <c r="A11" s="46" t="n">
        <v>8</v>
      </c>
      <c r="B11" s="47"/>
      <c r="C11" s="47"/>
      <c r="D11" s="48" t="str">
        <f aca="false">IF(AND(B11&lt;&gt;"",C11&lt;&gt;""),IF(EXACT(B11,C11),"✔","✗"),"")</f>
        <v/>
      </c>
      <c r="E11" s="49"/>
    </row>
    <row r="12" customFormat="false" ht="19.5" hidden="false" customHeight="true" outlineLevel="0" collapsed="false">
      <c r="A12" s="42" t="n">
        <v>9</v>
      </c>
      <c r="B12" s="43"/>
      <c r="C12" s="43"/>
      <c r="D12" s="44" t="str">
        <f aca="false">IF(AND(B12&lt;&gt;"",C12&lt;&gt;""),IF(EXACT(B12,C12),"✔","✗"),"")</f>
        <v/>
      </c>
      <c r="E12" s="45"/>
    </row>
    <row r="13" customFormat="false" ht="19.5" hidden="false" customHeight="true" outlineLevel="0" collapsed="false">
      <c r="A13" s="46" t="n">
        <v>10</v>
      </c>
      <c r="B13" s="47"/>
      <c r="C13" s="47"/>
      <c r="D13" s="48" t="str">
        <f aca="false">IF(AND(B13&lt;&gt;"",C13&lt;&gt;""),IF(EXACT(B13,C13),"✔","✗"),"")</f>
        <v/>
      </c>
      <c r="E13" s="49"/>
    </row>
    <row r="14" customFormat="false" ht="19.5" hidden="false" customHeight="true" outlineLevel="0" collapsed="false">
      <c r="A14" s="42" t="n">
        <v>11</v>
      </c>
      <c r="B14" s="43"/>
      <c r="C14" s="43"/>
      <c r="D14" s="44" t="str">
        <f aca="false">IF(AND(B14&lt;&gt;"",C14&lt;&gt;""),IF(EXACT(B14,C14),"✔","✗"),"")</f>
        <v/>
      </c>
      <c r="E14" s="45"/>
    </row>
    <row r="15" customFormat="false" ht="19.5" hidden="false" customHeight="true" outlineLevel="0" collapsed="false">
      <c r="A15" s="46" t="n">
        <v>12</v>
      </c>
      <c r="B15" s="47"/>
      <c r="C15" s="47"/>
      <c r="D15" s="48" t="str">
        <f aca="false">IF(AND(B15&lt;&gt;"",C15&lt;&gt;""),IF(EXACT(B15,C15),"✔","✗"),"")</f>
        <v/>
      </c>
      <c r="E15" s="49"/>
    </row>
    <row r="16" customFormat="false" ht="19.5" hidden="false" customHeight="true" outlineLevel="0" collapsed="false">
      <c r="A16" s="42" t="n">
        <v>13</v>
      </c>
      <c r="B16" s="43"/>
      <c r="C16" s="43"/>
      <c r="D16" s="44" t="str">
        <f aca="false">IF(AND(B16&lt;&gt;"",C16&lt;&gt;""),IF(EXACT(B16,C16),"✔","✗"),"")</f>
        <v/>
      </c>
      <c r="E16" s="45"/>
    </row>
    <row r="17" customFormat="false" ht="19.5" hidden="false" customHeight="true" outlineLevel="0" collapsed="false">
      <c r="A17" s="46" t="n">
        <v>14</v>
      </c>
      <c r="B17" s="47"/>
      <c r="C17" s="47"/>
      <c r="D17" s="48" t="str">
        <f aca="false">IF(AND(B17&lt;&gt;"",C17&lt;&gt;""),IF(EXACT(B17,C17),"✔","✗"),"")</f>
        <v/>
      </c>
      <c r="E17" s="49"/>
    </row>
    <row r="18" customFormat="false" ht="19.5" hidden="false" customHeight="true" outlineLevel="0" collapsed="false">
      <c r="A18" s="42" t="n">
        <v>15</v>
      </c>
      <c r="B18" s="43"/>
      <c r="C18" s="43"/>
      <c r="D18" s="44" t="str">
        <f aca="false">IF(AND(B18&lt;&gt;"",C18&lt;&gt;""),IF(EXACT(B18,C18),"✔","✗"),"")</f>
        <v/>
      </c>
      <c r="E18" s="45"/>
    </row>
    <row r="19" customFormat="false" ht="19.5" hidden="false" customHeight="true" outlineLevel="0" collapsed="false">
      <c r="A19" s="46" t="n">
        <v>16</v>
      </c>
      <c r="B19" s="47"/>
      <c r="C19" s="47"/>
      <c r="D19" s="48" t="str">
        <f aca="false">IF(AND(B19&lt;&gt;"",C19&lt;&gt;""),IF(EXACT(B19,C19),"✔","✗"),"")</f>
        <v/>
      </c>
      <c r="E19" s="49"/>
    </row>
    <row r="20" customFormat="false" ht="19.5" hidden="false" customHeight="true" outlineLevel="0" collapsed="false">
      <c r="A20" s="42" t="n">
        <v>17</v>
      </c>
      <c r="B20" s="43"/>
      <c r="C20" s="43"/>
      <c r="D20" s="44" t="str">
        <f aca="false">IF(AND(B20&lt;&gt;"",C20&lt;&gt;""),IF(EXACT(B20,C20),"✔","✗"),"")</f>
        <v/>
      </c>
      <c r="E20" s="45"/>
    </row>
    <row r="21" customFormat="false" ht="19.5" hidden="false" customHeight="true" outlineLevel="0" collapsed="false">
      <c r="A21" s="46" t="n">
        <v>18</v>
      </c>
      <c r="B21" s="47"/>
      <c r="C21" s="47"/>
      <c r="D21" s="48" t="str">
        <f aca="false">IF(AND(B21&lt;&gt;"",C21&lt;&gt;""),IF(EXACT(B21,C21),"✔","✗"),"")</f>
        <v/>
      </c>
      <c r="E21" s="49"/>
    </row>
    <row r="22" customFormat="false" ht="19.5" hidden="false" customHeight="true" outlineLevel="0" collapsed="false">
      <c r="A22" s="42" t="n">
        <v>19</v>
      </c>
      <c r="B22" s="43"/>
      <c r="C22" s="43"/>
      <c r="D22" s="44" t="str">
        <f aca="false">IF(AND(B22&lt;&gt;"",C22&lt;&gt;""),IF(EXACT(B22,C22),"✔","✗"),"")</f>
        <v/>
      </c>
      <c r="E22" s="45"/>
    </row>
    <row r="23" customFormat="false" ht="19.5" hidden="false" customHeight="true" outlineLevel="0" collapsed="false">
      <c r="A23" s="46" t="n">
        <v>20</v>
      </c>
      <c r="B23" s="47"/>
      <c r="C23" s="47"/>
      <c r="D23" s="48" t="str">
        <f aca="false">IF(AND(B23&lt;&gt;"",C23&lt;&gt;""),IF(EXACT(B23,C23),"✔","✗"),"")</f>
        <v/>
      </c>
      <c r="E23" s="49"/>
    </row>
    <row r="24" customFormat="false" ht="19.5" hidden="false" customHeight="true" outlineLevel="0" collapsed="false">
      <c r="A24" s="42" t="n">
        <v>21</v>
      </c>
      <c r="B24" s="43"/>
      <c r="C24" s="43"/>
      <c r="D24" s="44" t="str">
        <f aca="false">IF(AND(B24&lt;&gt;"",C24&lt;&gt;""),IF(EXACT(B24,C24),"✔","✗"),"")</f>
        <v/>
      </c>
      <c r="E24" s="45"/>
    </row>
    <row r="25" customFormat="false" ht="19.5" hidden="false" customHeight="true" outlineLevel="0" collapsed="false">
      <c r="A25" s="46" t="n">
        <v>22</v>
      </c>
      <c r="B25" s="47"/>
      <c r="C25" s="47"/>
      <c r="D25" s="48" t="str">
        <f aca="false">IF(AND(B25&lt;&gt;"",C25&lt;&gt;""),IF(EXACT(B25,C25),"✔","✗"),"")</f>
        <v/>
      </c>
      <c r="E25" s="49"/>
    </row>
    <row r="26" customFormat="false" ht="19.5" hidden="false" customHeight="true" outlineLevel="0" collapsed="false">
      <c r="A26" s="42" t="n">
        <v>23</v>
      </c>
      <c r="B26" s="43"/>
      <c r="C26" s="43"/>
      <c r="D26" s="44" t="str">
        <f aca="false">IF(AND(B26&lt;&gt;"",C26&lt;&gt;""),IF(EXACT(B26,C26),"✔","✗"),"")</f>
        <v/>
      </c>
      <c r="E26" s="45"/>
    </row>
    <row r="27" customFormat="false" ht="19.5" hidden="false" customHeight="true" outlineLevel="0" collapsed="false">
      <c r="A27" s="46" t="n">
        <v>24</v>
      </c>
      <c r="B27" s="47"/>
      <c r="C27" s="47"/>
      <c r="D27" s="48" t="str">
        <f aca="false">IF(AND(B27&lt;&gt;"",C27&lt;&gt;""),IF(EXACT(B27,C27),"✔","✗"),"")</f>
        <v/>
      </c>
      <c r="E27" s="49"/>
    </row>
    <row r="28" customFormat="false" ht="6" hidden="false" customHeight="true" outlineLevel="0" collapsed="false"/>
    <row r="29" customFormat="false" ht="21.75" hidden="false" customHeight="true" outlineLevel="0" collapsed="false">
      <c r="A29" s="50" t="s">
        <v>42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</row>
    <row r="30" customFormat="false" ht="19.5" hidden="false" customHeight="true" outlineLevel="0" collapsed="false">
      <c r="A30" s="51" t="s">
        <v>43</v>
      </c>
      <c r="B30" s="51"/>
      <c r="C30" s="51"/>
      <c r="D30" s="51"/>
      <c r="E30" s="51"/>
      <c r="F30" s="52" t="n">
        <v>24</v>
      </c>
      <c r="G30" s="52"/>
      <c r="H30" s="52"/>
      <c r="I30" s="52"/>
      <c r="J30" s="52"/>
      <c r="K30" s="52"/>
    </row>
    <row r="31" customFormat="false" ht="19.5" hidden="false" customHeight="true" outlineLevel="0" collapsed="false">
      <c r="A31" s="51" t="s">
        <v>44</v>
      </c>
      <c r="B31" s="51"/>
      <c r="C31" s="51"/>
      <c r="D31" s="51"/>
      <c r="E31" s="51"/>
      <c r="F31" s="52" t="n">
        <f aca="false">COUNTIF(B4:B27,"&lt;&gt;"&amp;"")</f>
        <v>0</v>
      </c>
      <c r="G31" s="52"/>
      <c r="H31" s="52"/>
      <c r="I31" s="52"/>
      <c r="J31" s="52"/>
      <c r="K31" s="52"/>
    </row>
    <row r="32" customFormat="false" ht="19.5" hidden="false" customHeight="true" outlineLevel="0" collapsed="false">
      <c r="A32" s="51" t="s">
        <v>45</v>
      </c>
      <c r="B32" s="51"/>
      <c r="C32" s="51"/>
      <c r="D32" s="51"/>
      <c r="E32" s="51"/>
      <c r="F32" s="52" t="n">
        <f aca="false">COUNTIF(D4:D27,"✔")</f>
        <v>0</v>
      </c>
      <c r="G32" s="52"/>
      <c r="H32" s="52"/>
      <c r="I32" s="52"/>
      <c r="J32" s="52"/>
      <c r="K32" s="52"/>
    </row>
    <row r="33" customFormat="false" ht="19.5" hidden="false" customHeight="true" outlineLevel="0" collapsed="false">
      <c r="A33" s="51" t="s">
        <v>46</v>
      </c>
      <c r="B33" s="51"/>
      <c r="C33" s="51"/>
      <c r="D33" s="51"/>
      <c r="E33" s="51"/>
      <c r="F33" s="52" t="n">
        <f aca="false">COUNTIF(D4:D27,"✗")</f>
        <v>0</v>
      </c>
      <c r="G33" s="52"/>
      <c r="H33" s="52"/>
      <c r="I33" s="52"/>
      <c r="J33" s="52"/>
      <c r="K33" s="52"/>
    </row>
    <row r="34" customFormat="false" ht="19.5" hidden="false" customHeight="true" outlineLevel="0" collapsed="false">
      <c r="A34" s="51" t="s">
        <v>5</v>
      </c>
      <c r="B34" s="51"/>
      <c r="C34" s="51"/>
      <c r="D34" s="51"/>
      <c r="E34" s="51"/>
      <c r="F34" s="53" t="n">
        <f aca="false">IFERROR(F32/24*100,0)</f>
        <v>0</v>
      </c>
      <c r="G34" s="53"/>
      <c r="H34" s="53"/>
      <c r="I34" s="53"/>
      <c r="J34" s="53"/>
      <c r="K34" s="53"/>
    </row>
  </sheetData>
  <mergeCells count="13">
    <mergeCell ref="A1:E1"/>
    <mergeCell ref="A2:E2"/>
    <mergeCell ref="A29:K29"/>
    <mergeCell ref="A30:E30"/>
    <mergeCell ref="F30:K30"/>
    <mergeCell ref="A31:E31"/>
    <mergeCell ref="F31:K31"/>
    <mergeCell ref="A32:E32"/>
    <mergeCell ref="F32:K32"/>
    <mergeCell ref="A33:E33"/>
    <mergeCell ref="F33:K33"/>
    <mergeCell ref="A34:E34"/>
    <mergeCell ref="F34:K34"/>
  </mergeCells>
  <conditionalFormatting sqref="D4:D27">
    <cfRule type="expression" priority="2" aboveAverage="0" equalAverage="0" bottom="0" percent="0" rank="0" text="" dxfId="0">
      <formula>D4="✔"</formula>
    </cfRule>
    <cfRule type="expression" priority="3" aboveAverage="0" equalAverage="0" bottom="0" percent="0" rank="0" text="" dxfId="2">
      <formula>D4="✗"</formula>
    </cfRule>
  </conditionalFormatting>
  <dataValidations count="2">
    <dataValidation allowBlank="true" errorStyle="stop" operator="between" showDropDown="false" showErrorMessage="false" showInputMessage="false" sqref="B4:B27" type="list">
      <formula1>"A,B,C,D,E"</formula1>
      <formula2>0</formula2>
    </dataValidation>
    <dataValidation allowBlank="true" errorStyle="stop" operator="between" showDropDown="false" showErrorMessage="false" showInputMessage="false" sqref="C4:C27" type="list">
      <formula1>"A,B,C,D,E"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24"/>
  </cols>
  <sheetData>
    <row r="1" customFormat="false" ht="36" hidden="false" customHeight="true" outlineLevel="0" collapsed="false">
      <c r="A1" s="40" t="s">
        <v>48</v>
      </c>
      <c r="B1" s="40"/>
      <c r="C1" s="40"/>
      <c r="D1" s="40"/>
      <c r="E1" s="40"/>
    </row>
    <row r="2" customFormat="false" ht="18" hidden="false" customHeight="true" outlineLevel="0" collapsed="false">
      <c r="A2" s="41" t="s">
        <v>36</v>
      </c>
      <c r="B2" s="41"/>
      <c r="C2" s="41"/>
      <c r="D2" s="41"/>
      <c r="E2" s="41"/>
    </row>
    <row r="3" customFormat="false" ht="21.75" hidden="false" customHeight="true" outlineLevel="0" collapsed="false">
      <c r="A3" s="4" t="s">
        <v>37</v>
      </c>
      <c r="B3" s="4" t="s">
        <v>38</v>
      </c>
      <c r="C3" s="4" t="s">
        <v>39</v>
      </c>
      <c r="D3" s="4" t="s">
        <v>40</v>
      </c>
      <c r="E3" s="4" t="s">
        <v>41</v>
      </c>
    </row>
    <row r="4" customFormat="false" ht="19.5" hidden="false" customHeight="true" outlineLevel="0" collapsed="false">
      <c r="A4" s="42" t="n">
        <v>1</v>
      </c>
      <c r="B4" s="43"/>
      <c r="C4" s="43"/>
      <c r="D4" s="44" t="str">
        <f aca="false">IF(AND(B4&lt;&gt;"",C4&lt;&gt;""),IF(EXACT(B4,C4),"✔","✗"),"")</f>
        <v/>
      </c>
      <c r="E4" s="45"/>
    </row>
    <row r="5" customFormat="false" ht="19.5" hidden="false" customHeight="true" outlineLevel="0" collapsed="false">
      <c r="A5" s="46" t="n">
        <v>2</v>
      </c>
      <c r="B5" s="47"/>
      <c r="C5" s="47"/>
      <c r="D5" s="48" t="str">
        <f aca="false">IF(AND(B5&lt;&gt;"",C5&lt;&gt;""),IF(EXACT(B5,C5),"✔","✗"),"")</f>
        <v/>
      </c>
      <c r="E5" s="49"/>
    </row>
    <row r="6" customFormat="false" ht="19.5" hidden="false" customHeight="true" outlineLevel="0" collapsed="false">
      <c r="A6" s="42" t="n">
        <v>3</v>
      </c>
      <c r="B6" s="43"/>
      <c r="C6" s="43"/>
      <c r="D6" s="44" t="str">
        <f aca="false">IF(AND(B6&lt;&gt;"",C6&lt;&gt;""),IF(EXACT(B6,C6),"✔","✗"),"")</f>
        <v/>
      </c>
      <c r="E6" s="45"/>
    </row>
    <row r="7" customFormat="false" ht="19.5" hidden="false" customHeight="true" outlineLevel="0" collapsed="false">
      <c r="A7" s="46" t="n">
        <v>4</v>
      </c>
      <c r="B7" s="47"/>
      <c r="C7" s="47"/>
      <c r="D7" s="48" t="str">
        <f aca="false">IF(AND(B7&lt;&gt;"",C7&lt;&gt;""),IF(EXACT(B7,C7),"✔","✗"),"")</f>
        <v/>
      </c>
      <c r="E7" s="49"/>
    </row>
    <row r="8" customFormat="false" ht="19.5" hidden="false" customHeight="true" outlineLevel="0" collapsed="false">
      <c r="A8" s="42" t="n">
        <v>5</v>
      </c>
      <c r="B8" s="43"/>
      <c r="C8" s="43"/>
      <c r="D8" s="44" t="str">
        <f aca="false">IF(AND(B8&lt;&gt;"",C8&lt;&gt;""),IF(EXACT(B8,C8),"✔","✗"),"")</f>
        <v/>
      </c>
      <c r="E8" s="45"/>
    </row>
    <row r="9" customFormat="false" ht="19.5" hidden="false" customHeight="true" outlineLevel="0" collapsed="false">
      <c r="A9" s="46" t="n">
        <v>6</v>
      </c>
      <c r="B9" s="47"/>
      <c r="C9" s="47"/>
      <c r="D9" s="48" t="str">
        <f aca="false">IF(AND(B9&lt;&gt;"",C9&lt;&gt;""),IF(EXACT(B9,C9),"✔","✗"),"")</f>
        <v/>
      </c>
      <c r="E9" s="49"/>
    </row>
    <row r="10" customFormat="false" ht="19.5" hidden="false" customHeight="true" outlineLevel="0" collapsed="false">
      <c r="A10" s="42" t="n">
        <v>7</v>
      </c>
      <c r="B10" s="43"/>
      <c r="C10" s="43"/>
      <c r="D10" s="44" t="str">
        <f aca="false">IF(AND(B10&lt;&gt;"",C10&lt;&gt;""),IF(EXACT(B10,C10),"✔","✗"),"")</f>
        <v/>
      </c>
      <c r="E10" s="45"/>
    </row>
    <row r="11" customFormat="false" ht="19.5" hidden="false" customHeight="true" outlineLevel="0" collapsed="false">
      <c r="A11" s="46" t="n">
        <v>8</v>
      </c>
      <c r="B11" s="47"/>
      <c r="C11" s="47"/>
      <c r="D11" s="48" t="str">
        <f aca="false">IF(AND(B11&lt;&gt;"",C11&lt;&gt;""),IF(EXACT(B11,C11),"✔","✗"),"")</f>
        <v/>
      </c>
      <c r="E11" s="49"/>
    </row>
    <row r="12" customFormat="false" ht="19.5" hidden="false" customHeight="true" outlineLevel="0" collapsed="false">
      <c r="A12" s="42" t="n">
        <v>9</v>
      </c>
      <c r="B12" s="43"/>
      <c r="C12" s="43"/>
      <c r="D12" s="44" t="str">
        <f aca="false">IF(AND(B12&lt;&gt;"",C12&lt;&gt;""),IF(EXACT(B12,C12),"✔","✗"),"")</f>
        <v/>
      </c>
      <c r="E12" s="45"/>
    </row>
    <row r="13" customFormat="false" ht="19.5" hidden="false" customHeight="true" outlineLevel="0" collapsed="false">
      <c r="A13" s="46" t="n">
        <v>10</v>
      </c>
      <c r="B13" s="47"/>
      <c r="C13" s="47"/>
      <c r="D13" s="48" t="str">
        <f aca="false">IF(AND(B13&lt;&gt;"",C13&lt;&gt;""),IF(EXACT(B13,C13),"✔","✗"),"")</f>
        <v/>
      </c>
      <c r="E13" s="49"/>
    </row>
    <row r="14" customFormat="false" ht="19.5" hidden="false" customHeight="true" outlineLevel="0" collapsed="false">
      <c r="A14" s="42" t="n">
        <v>11</v>
      </c>
      <c r="B14" s="43"/>
      <c r="C14" s="43"/>
      <c r="D14" s="44" t="str">
        <f aca="false">IF(AND(B14&lt;&gt;"",C14&lt;&gt;""),IF(EXACT(B14,C14),"✔","✗"),"")</f>
        <v/>
      </c>
      <c r="E14" s="45"/>
    </row>
    <row r="15" customFormat="false" ht="19.5" hidden="false" customHeight="true" outlineLevel="0" collapsed="false">
      <c r="A15" s="46" t="n">
        <v>12</v>
      </c>
      <c r="B15" s="47"/>
      <c r="C15" s="47"/>
      <c r="D15" s="48" t="str">
        <f aca="false">IF(AND(B15&lt;&gt;"",C15&lt;&gt;""),IF(EXACT(B15,C15),"✔","✗"),"")</f>
        <v/>
      </c>
      <c r="E15" s="49"/>
    </row>
    <row r="16" customFormat="false" ht="19.5" hidden="false" customHeight="true" outlineLevel="0" collapsed="false">
      <c r="A16" s="42" t="n">
        <v>13</v>
      </c>
      <c r="B16" s="43"/>
      <c r="C16" s="43"/>
      <c r="D16" s="44" t="str">
        <f aca="false">IF(AND(B16&lt;&gt;"",C16&lt;&gt;""),IF(EXACT(B16,C16),"✔","✗"),"")</f>
        <v/>
      </c>
      <c r="E16" s="45"/>
    </row>
    <row r="17" customFormat="false" ht="19.5" hidden="false" customHeight="true" outlineLevel="0" collapsed="false">
      <c r="A17" s="46" t="n">
        <v>14</v>
      </c>
      <c r="B17" s="47"/>
      <c r="C17" s="47"/>
      <c r="D17" s="48" t="str">
        <f aca="false">IF(AND(B17&lt;&gt;"",C17&lt;&gt;""),IF(EXACT(B17,C17),"✔","✗"),"")</f>
        <v/>
      </c>
      <c r="E17" s="49"/>
    </row>
    <row r="18" customFormat="false" ht="19.5" hidden="false" customHeight="true" outlineLevel="0" collapsed="false">
      <c r="A18" s="42" t="n">
        <v>15</v>
      </c>
      <c r="B18" s="43"/>
      <c r="C18" s="43"/>
      <c r="D18" s="44" t="str">
        <f aca="false">IF(AND(B18&lt;&gt;"",C18&lt;&gt;""),IF(EXACT(B18,C18),"✔","✗"),"")</f>
        <v/>
      </c>
      <c r="E18" s="45"/>
    </row>
    <row r="19" customFormat="false" ht="19.5" hidden="false" customHeight="true" outlineLevel="0" collapsed="false">
      <c r="A19" s="46" t="n">
        <v>16</v>
      </c>
      <c r="B19" s="47"/>
      <c r="C19" s="47"/>
      <c r="D19" s="48" t="str">
        <f aca="false">IF(AND(B19&lt;&gt;"",C19&lt;&gt;""),IF(EXACT(B19,C19),"✔","✗"),"")</f>
        <v/>
      </c>
      <c r="E19" s="49"/>
    </row>
    <row r="20" customFormat="false" ht="19.5" hidden="false" customHeight="true" outlineLevel="0" collapsed="false">
      <c r="A20" s="42" t="n">
        <v>17</v>
      </c>
      <c r="B20" s="43"/>
      <c r="C20" s="43"/>
      <c r="D20" s="44" t="str">
        <f aca="false">IF(AND(B20&lt;&gt;"",C20&lt;&gt;""),IF(EXACT(B20,C20),"✔","✗"),"")</f>
        <v/>
      </c>
      <c r="E20" s="45"/>
    </row>
    <row r="21" customFormat="false" ht="19.5" hidden="false" customHeight="true" outlineLevel="0" collapsed="false">
      <c r="A21" s="46" t="n">
        <v>18</v>
      </c>
      <c r="B21" s="47"/>
      <c r="C21" s="47"/>
      <c r="D21" s="48" t="str">
        <f aca="false">IF(AND(B21&lt;&gt;"",C21&lt;&gt;""),IF(EXACT(B21,C21),"✔","✗"),"")</f>
        <v/>
      </c>
      <c r="E21" s="49"/>
    </row>
    <row r="22" customFormat="false" ht="6" hidden="false" customHeight="true" outlineLevel="0" collapsed="false"/>
    <row r="23" customFormat="false" ht="21.75" hidden="false" customHeight="true" outlineLevel="0" collapsed="false">
      <c r="A23" s="50" t="s">
        <v>42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</row>
    <row r="24" customFormat="false" ht="19.5" hidden="false" customHeight="true" outlineLevel="0" collapsed="false">
      <c r="A24" s="51" t="s">
        <v>43</v>
      </c>
      <c r="B24" s="51"/>
      <c r="C24" s="51"/>
      <c r="D24" s="51"/>
      <c r="E24" s="51"/>
      <c r="F24" s="52" t="n">
        <v>18</v>
      </c>
      <c r="G24" s="52"/>
      <c r="H24" s="52"/>
      <c r="I24" s="52"/>
      <c r="J24" s="52"/>
      <c r="K24" s="52"/>
    </row>
    <row r="25" customFormat="false" ht="19.5" hidden="false" customHeight="true" outlineLevel="0" collapsed="false">
      <c r="A25" s="51" t="s">
        <v>44</v>
      </c>
      <c r="B25" s="51"/>
      <c r="C25" s="51"/>
      <c r="D25" s="51"/>
      <c r="E25" s="51"/>
      <c r="F25" s="52" t="n">
        <f aca="false">COUNTIF(B4:B21,"&lt;&gt;"&amp;"")</f>
        <v>0</v>
      </c>
      <c r="G25" s="52"/>
      <c r="H25" s="52"/>
      <c r="I25" s="52"/>
      <c r="J25" s="52"/>
      <c r="K25" s="52"/>
    </row>
    <row r="26" customFormat="false" ht="19.5" hidden="false" customHeight="true" outlineLevel="0" collapsed="false">
      <c r="A26" s="51" t="s">
        <v>45</v>
      </c>
      <c r="B26" s="51"/>
      <c r="C26" s="51"/>
      <c r="D26" s="51"/>
      <c r="E26" s="51"/>
      <c r="F26" s="52" t="n">
        <f aca="false">COUNTIF(D4:D21,"✔")</f>
        <v>0</v>
      </c>
      <c r="G26" s="52"/>
      <c r="H26" s="52"/>
      <c r="I26" s="52"/>
      <c r="J26" s="52"/>
      <c r="K26" s="52"/>
    </row>
    <row r="27" customFormat="false" ht="19.5" hidden="false" customHeight="true" outlineLevel="0" collapsed="false">
      <c r="A27" s="51" t="s">
        <v>46</v>
      </c>
      <c r="B27" s="51"/>
      <c r="C27" s="51"/>
      <c r="D27" s="51"/>
      <c r="E27" s="51"/>
      <c r="F27" s="52" t="n">
        <f aca="false">COUNTIF(D4:D21,"✗")</f>
        <v>0</v>
      </c>
      <c r="G27" s="52"/>
      <c r="H27" s="52"/>
      <c r="I27" s="52"/>
      <c r="J27" s="52"/>
      <c r="K27" s="52"/>
    </row>
    <row r="28" customFormat="false" ht="19.5" hidden="false" customHeight="true" outlineLevel="0" collapsed="false">
      <c r="A28" s="51" t="s">
        <v>5</v>
      </c>
      <c r="B28" s="51"/>
      <c r="C28" s="51"/>
      <c r="D28" s="51"/>
      <c r="E28" s="51"/>
      <c r="F28" s="53" t="n">
        <f aca="false">IFERROR(F26/18*100,0)</f>
        <v>0</v>
      </c>
      <c r="G28" s="53"/>
      <c r="H28" s="53"/>
      <c r="I28" s="53"/>
      <c r="J28" s="53"/>
      <c r="K28" s="53"/>
    </row>
  </sheetData>
  <mergeCells count="13">
    <mergeCell ref="A1:E1"/>
    <mergeCell ref="A2:E2"/>
    <mergeCell ref="A23:K23"/>
    <mergeCell ref="A24:E24"/>
    <mergeCell ref="F24:K24"/>
    <mergeCell ref="A25:E25"/>
    <mergeCell ref="F25:K25"/>
    <mergeCell ref="A26:E26"/>
    <mergeCell ref="F26:K26"/>
    <mergeCell ref="A27:E27"/>
    <mergeCell ref="F27:K27"/>
    <mergeCell ref="A28:E28"/>
    <mergeCell ref="F28:K28"/>
  </mergeCells>
  <conditionalFormatting sqref="D4:D21">
    <cfRule type="expression" priority="2" aboveAverage="0" equalAverage="0" bottom="0" percent="0" rank="0" text="" dxfId="0">
      <formula>D4="✔"</formula>
    </cfRule>
    <cfRule type="expression" priority="3" aboveAverage="0" equalAverage="0" bottom="0" percent="0" rank="0" text="" dxfId="2">
      <formula>D4="✗"</formula>
    </cfRule>
  </conditionalFormatting>
  <dataValidations count="2">
    <dataValidation allowBlank="true" errorStyle="stop" operator="between" showDropDown="false" showErrorMessage="false" showInputMessage="false" sqref="B4:B21" type="list">
      <formula1>"A,B,C,D,E"</formula1>
      <formula2>0</formula2>
    </dataValidation>
    <dataValidation allowBlank="true" errorStyle="stop" operator="between" showDropDown="false" showErrorMessage="false" showInputMessage="false" sqref="C4:C21" type="list">
      <formula1>"A,B,C,D,E"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24"/>
  </cols>
  <sheetData>
    <row r="1" customFormat="false" ht="36" hidden="false" customHeight="true" outlineLevel="0" collapsed="false">
      <c r="A1" s="40" t="s">
        <v>49</v>
      </c>
      <c r="B1" s="40"/>
      <c r="C1" s="40"/>
      <c r="D1" s="40"/>
      <c r="E1" s="40"/>
    </row>
    <row r="2" customFormat="false" ht="18" hidden="false" customHeight="true" outlineLevel="0" collapsed="false">
      <c r="A2" s="41" t="s">
        <v>36</v>
      </c>
      <c r="B2" s="41"/>
      <c r="C2" s="41"/>
      <c r="D2" s="41"/>
      <c r="E2" s="41"/>
    </row>
    <row r="3" customFormat="false" ht="21.75" hidden="false" customHeight="true" outlineLevel="0" collapsed="false">
      <c r="A3" s="4" t="s">
        <v>37</v>
      </c>
      <c r="B3" s="4" t="s">
        <v>38</v>
      </c>
      <c r="C3" s="4" t="s">
        <v>39</v>
      </c>
      <c r="D3" s="4" t="s">
        <v>40</v>
      </c>
      <c r="E3" s="4" t="s">
        <v>41</v>
      </c>
    </row>
    <row r="4" customFormat="false" ht="19.5" hidden="false" customHeight="true" outlineLevel="0" collapsed="false">
      <c r="A4" s="42" t="n">
        <v>1</v>
      </c>
      <c r="B4" s="43"/>
      <c r="C4" s="43"/>
      <c r="D4" s="44" t="str">
        <f aca="false">IF(AND(B4&lt;&gt;"",C4&lt;&gt;""),IF(EXACT(B4,C4),"✔","✗"),"")</f>
        <v/>
      </c>
      <c r="E4" s="45"/>
    </row>
    <row r="5" customFormat="false" ht="19.5" hidden="false" customHeight="true" outlineLevel="0" collapsed="false">
      <c r="A5" s="46" t="n">
        <v>2</v>
      </c>
      <c r="B5" s="47"/>
      <c r="C5" s="47"/>
      <c r="D5" s="48" t="str">
        <f aca="false">IF(AND(B5&lt;&gt;"",C5&lt;&gt;""),IF(EXACT(B5,C5),"✔","✗"),"")</f>
        <v/>
      </c>
      <c r="E5" s="49"/>
    </row>
    <row r="6" customFormat="false" ht="19.5" hidden="false" customHeight="true" outlineLevel="0" collapsed="false">
      <c r="A6" s="42" t="n">
        <v>3</v>
      </c>
      <c r="B6" s="43"/>
      <c r="C6" s="43"/>
      <c r="D6" s="44" t="str">
        <f aca="false">IF(AND(B6&lt;&gt;"",C6&lt;&gt;""),IF(EXACT(B6,C6),"✔","✗"),"")</f>
        <v/>
      </c>
      <c r="E6" s="45"/>
    </row>
    <row r="7" customFormat="false" ht="19.5" hidden="false" customHeight="true" outlineLevel="0" collapsed="false">
      <c r="A7" s="46" t="n">
        <v>4</v>
      </c>
      <c r="B7" s="47"/>
      <c r="C7" s="47"/>
      <c r="D7" s="48" t="str">
        <f aca="false">IF(AND(B7&lt;&gt;"",C7&lt;&gt;""),IF(EXACT(B7,C7),"✔","✗"),"")</f>
        <v/>
      </c>
      <c r="E7" s="49"/>
    </row>
    <row r="8" customFormat="false" ht="19.5" hidden="false" customHeight="true" outlineLevel="0" collapsed="false">
      <c r="A8" s="42" t="n">
        <v>5</v>
      </c>
      <c r="B8" s="43"/>
      <c r="C8" s="43"/>
      <c r="D8" s="44" t="str">
        <f aca="false">IF(AND(B8&lt;&gt;"",C8&lt;&gt;""),IF(EXACT(B8,C8),"✔","✗"),"")</f>
        <v/>
      </c>
      <c r="E8" s="45"/>
    </row>
    <row r="9" customFormat="false" ht="19.5" hidden="false" customHeight="true" outlineLevel="0" collapsed="false">
      <c r="A9" s="46" t="n">
        <v>6</v>
      </c>
      <c r="B9" s="47"/>
      <c r="C9" s="47"/>
      <c r="D9" s="48" t="str">
        <f aca="false">IF(AND(B9&lt;&gt;"",C9&lt;&gt;""),IF(EXACT(B9,C9),"✔","✗"),"")</f>
        <v/>
      </c>
      <c r="E9" s="49"/>
    </row>
    <row r="10" customFormat="false" ht="19.5" hidden="false" customHeight="true" outlineLevel="0" collapsed="false">
      <c r="A10" s="42" t="n">
        <v>7</v>
      </c>
      <c r="B10" s="43"/>
      <c r="C10" s="43"/>
      <c r="D10" s="44" t="str">
        <f aca="false">IF(AND(B10&lt;&gt;"",C10&lt;&gt;""),IF(EXACT(B10,C10),"✔","✗"),"")</f>
        <v/>
      </c>
      <c r="E10" s="45"/>
    </row>
    <row r="11" customFormat="false" ht="19.5" hidden="false" customHeight="true" outlineLevel="0" collapsed="false">
      <c r="A11" s="46" t="n">
        <v>8</v>
      </c>
      <c r="B11" s="47"/>
      <c r="C11" s="47"/>
      <c r="D11" s="48" t="str">
        <f aca="false">IF(AND(B11&lt;&gt;"",C11&lt;&gt;""),IF(EXACT(B11,C11),"✔","✗"),"")</f>
        <v/>
      </c>
      <c r="E11" s="49"/>
    </row>
    <row r="12" customFormat="false" ht="19.5" hidden="false" customHeight="true" outlineLevel="0" collapsed="false">
      <c r="A12" s="42" t="n">
        <v>9</v>
      </c>
      <c r="B12" s="43"/>
      <c r="C12" s="43"/>
      <c r="D12" s="44" t="str">
        <f aca="false">IF(AND(B12&lt;&gt;"",C12&lt;&gt;""),IF(EXACT(B12,C12),"✔","✗"),"")</f>
        <v/>
      </c>
      <c r="E12" s="45"/>
    </row>
    <row r="13" customFormat="false" ht="19.5" hidden="false" customHeight="true" outlineLevel="0" collapsed="false">
      <c r="A13" s="46" t="n">
        <v>10</v>
      </c>
      <c r="B13" s="47"/>
      <c r="C13" s="47"/>
      <c r="D13" s="48" t="str">
        <f aca="false">IF(AND(B13&lt;&gt;"",C13&lt;&gt;""),IF(EXACT(B13,C13),"✔","✗"),"")</f>
        <v/>
      </c>
      <c r="E13" s="49"/>
    </row>
    <row r="14" customFormat="false" ht="19.5" hidden="false" customHeight="true" outlineLevel="0" collapsed="false">
      <c r="A14" s="42" t="n">
        <v>11</v>
      </c>
      <c r="B14" s="43"/>
      <c r="C14" s="43"/>
      <c r="D14" s="44" t="str">
        <f aca="false">IF(AND(B14&lt;&gt;"",C14&lt;&gt;""),IF(EXACT(B14,C14),"✔","✗"),"")</f>
        <v/>
      </c>
      <c r="E14" s="45"/>
    </row>
    <row r="15" customFormat="false" ht="19.5" hidden="false" customHeight="true" outlineLevel="0" collapsed="false">
      <c r="A15" s="46" t="n">
        <v>12</v>
      </c>
      <c r="B15" s="47"/>
      <c r="C15" s="47"/>
      <c r="D15" s="48" t="str">
        <f aca="false">IF(AND(B15&lt;&gt;"",C15&lt;&gt;""),IF(EXACT(B15,C15),"✔","✗"),"")</f>
        <v/>
      </c>
      <c r="E15" s="49"/>
    </row>
    <row r="16" customFormat="false" ht="6" hidden="false" customHeight="true" outlineLevel="0" collapsed="false"/>
    <row r="17" customFormat="false" ht="21.75" hidden="false" customHeight="true" outlineLevel="0" collapsed="false">
      <c r="A17" s="50" t="s">
        <v>42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</row>
    <row r="18" customFormat="false" ht="19.5" hidden="false" customHeight="true" outlineLevel="0" collapsed="false">
      <c r="A18" s="51" t="s">
        <v>43</v>
      </c>
      <c r="B18" s="51"/>
      <c r="C18" s="51"/>
      <c r="D18" s="51"/>
      <c r="E18" s="51"/>
      <c r="F18" s="52" t="n">
        <v>12</v>
      </c>
      <c r="G18" s="52"/>
      <c r="H18" s="52"/>
      <c r="I18" s="52"/>
      <c r="J18" s="52"/>
      <c r="K18" s="52"/>
    </row>
    <row r="19" customFormat="false" ht="19.5" hidden="false" customHeight="true" outlineLevel="0" collapsed="false">
      <c r="A19" s="51" t="s">
        <v>44</v>
      </c>
      <c r="B19" s="51"/>
      <c r="C19" s="51"/>
      <c r="D19" s="51"/>
      <c r="E19" s="51"/>
      <c r="F19" s="52" t="n">
        <f aca="false">COUNTIF(B4:B15,"&lt;&gt;"&amp;"")</f>
        <v>0</v>
      </c>
      <c r="G19" s="52"/>
      <c r="H19" s="52"/>
      <c r="I19" s="52"/>
      <c r="J19" s="52"/>
      <c r="K19" s="52"/>
    </row>
    <row r="20" customFormat="false" ht="19.5" hidden="false" customHeight="true" outlineLevel="0" collapsed="false">
      <c r="A20" s="51" t="s">
        <v>45</v>
      </c>
      <c r="B20" s="51"/>
      <c r="C20" s="51"/>
      <c r="D20" s="51"/>
      <c r="E20" s="51"/>
      <c r="F20" s="52" t="n">
        <f aca="false">COUNTIF(D4:D15,"✔")</f>
        <v>0</v>
      </c>
      <c r="G20" s="52"/>
      <c r="H20" s="52"/>
      <c r="I20" s="52"/>
      <c r="J20" s="52"/>
      <c r="K20" s="52"/>
    </row>
    <row r="21" customFormat="false" ht="19.5" hidden="false" customHeight="true" outlineLevel="0" collapsed="false">
      <c r="A21" s="51" t="s">
        <v>46</v>
      </c>
      <c r="B21" s="51"/>
      <c r="C21" s="51"/>
      <c r="D21" s="51"/>
      <c r="E21" s="51"/>
      <c r="F21" s="52" t="n">
        <f aca="false">COUNTIF(D4:D15,"✗")</f>
        <v>0</v>
      </c>
      <c r="G21" s="52"/>
      <c r="H21" s="52"/>
      <c r="I21" s="52"/>
      <c r="J21" s="52"/>
      <c r="K21" s="52"/>
    </row>
    <row r="22" customFormat="false" ht="19.5" hidden="false" customHeight="true" outlineLevel="0" collapsed="false">
      <c r="A22" s="51" t="s">
        <v>5</v>
      </c>
      <c r="B22" s="51"/>
      <c r="C22" s="51"/>
      <c r="D22" s="51"/>
      <c r="E22" s="51"/>
      <c r="F22" s="53" t="n">
        <f aca="false">IFERROR(F20/12*100,0)</f>
        <v>0</v>
      </c>
      <c r="G22" s="53"/>
      <c r="H22" s="53"/>
      <c r="I22" s="53"/>
      <c r="J22" s="53"/>
      <c r="K22" s="53"/>
    </row>
  </sheetData>
  <mergeCells count="13">
    <mergeCell ref="A1:E1"/>
    <mergeCell ref="A2:E2"/>
    <mergeCell ref="A17:K17"/>
    <mergeCell ref="A18:E18"/>
    <mergeCell ref="F18:K18"/>
    <mergeCell ref="A19:E19"/>
    <mergeCell ref="F19:K19"/>
    <mergeCell ref="A20:E20"/>
    <mergeCell ref="F20:K20"/>
    <mergeCell ref="A21:E21"/>
    <mergeCell ref="F21:K21"/>
    <mergeCell ref="A22:E22"/>
    <mergeCell ref="F22:K22"/>
  </mergeCells>
  <conditionalFormatting sqref="D4:D15">
    <cfRule type="expression" priority="2" aboveAverage="0" equalAverage="0" bottom="0" percent="0" rank="0" text="" dxfId="0">
      <formula>D4="✔"</formula>
    </cfRule>
    <cfRule type="expression" priority="3" aboveAverage="0" equalAverage="0" bottom="0" percent="0" rank="0" text="" dxfId="2">
      <formula>D4="✗"</formula>
    </cfRule>
  </conditionalFormatting>
  <dataValidations count="2">
    <dataValidation allowBlank="true" errorStyle="stop" operator="between" showDropDown="false" showErrorMessage="false" showInputMessage="false" sqref="B4:B15" type="list">
      <formula1>"A,B,C,D,E"</formula1>
      <formula2>0</formula2>
    </dataValidation>
    <dataValidation allowBlank="true" errorStyle="stop" operator="between" showDropDown="false" showErrorMessage="false" showInputMessage="false" sqref="C4:C15" type="list">
      <formula1>"A,B,C,D,E"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24"/>
  </cols>
  <sheetData>
    <row r="1" customFormat="false" ht="36" hidden="false" customHeight="true" outlineLevel="0" collapsed="false">
      <c r="A1" s="54" t="s">
        <v>50</v>
      </c>
      <c r="B1" s="54"/>
      <c r="C1" s="54"/>
      <c r="D1" s="54"/>
      <c r="E1" s="54"/>
    </row>
    <row r="2" customFormat="false" ht="18" hidden="false" customHeight="true" outlineLevel="0" collapsed="false">
      <c r="A2" s="55" t="s">
        <v>36</v>
      </c>
      <c r="B2" s="55"/>
      <c r="C2" s="55"/>
      <c r="D2" s="55"/>
      <c r="E2" s="55"/>
    </row>
    <row r="3" customFormat="false" ht="21.75" hidden="false" customHeight="true" outlineLevel="0" collapsed="false">
      <c r="A3" s="4" t="s">
        <v>37</v>
      </c>
      <c r="B3" s="4" t="s">
        <v>38</v>
      </c>
      <c r="C3" s="4" t="s">
        <v>39</v>
      </c>
      <c r="D3" s="4" t="s">
        <v>40</v>
      </c>
      <c r="E3" s="4" t="s">
        <v>41</v>
      </c>
    </row>
    <row r="4" customFormat="false" ht="19.5" hidden="false" customHeight="true" outlineLevel="0" collapsed="false">
      <c r="A4" s="42" t="n">
        <v>1</v>
      </c>
      <c r="B4" s="43"/>
      <c r="C4" s="43"/>
      <c r="D4" s="44" t="str">
        <f aca="false">IF(AND(B4&lt;&gt;"",C4&lt;&gt;""),IF(EXACT(B4,C4),"✔","✗"),"")</f>
        <v/>
      </c>
      <c r="E4" s="45"/>
    </row>
    <row r="5" customFormat="false" ht="19.5" hidden="false" customHeight="true" outlineLevel="0" collapsed="false">
      <c r="A5" s="46" t="n">
        <v>2</v>
      </c>
      <c r="B5" s="47"/>
      <c r="C5" s="47"/>
      <c r="D5" s="48" t="str">
        <f aca="false">IF(AND(B5&lt;&gt;"",C5&lt;&gt;""),IF(EXACT(B5,C5),"✔","✗"),"")</f>
        <v/>
      </c>
      <c r="E5" s="49"/>
    </row>
    <row r="6" customFormat="false" ht="19.5" hidden="false" customHeight="true" outlineLevel="0" collapsed="false">
      <c r="A6" s="42" t="n">
        <v>3</v>
      </c>
      <c r="B6" s="43"/>
      <c r="C6" s="43"/>
      <c r="D6" s="44" t="str">
        <f aca="false">IF(AND(B6&lt;&gt;"",C6&lt;&gt;""),IF(EXACT(B6,C6),"✔","✗"),"")</f>
        <v/>
      </c>
      <c r="E6" s="45"/>
    </row>
    <row r="7" customFormat="false" ht="19.5" hidden="false" customHeight="true" outlineLevel="0" collapsed="false">
      <c r="A7" s="46" t="n">
        <v>4</v>
      </c>
      <c r="B7" s="47"/>
      <c r="C7" s="47"/>
      <c r="D7" s="48" t="str">
        <f aca="false">IF(AND(B7&lt;&gt;"",C7&lt;&gt;""),IF(EXACT(B7,C7),"✔","✗"),"")</f>
        <v/>
      </c>
      <c r="E7" s="49"/>
    </row>
    <row r="8" customFormat="false" ht="19.5" hidden="false" customHeight="true" outlineLevel="0" collapsed="false">
      <c r="A8" s="42" t="n">
        <v>5</v>
      </c>
      <c r="B8" s="43"/>
      <c r="C8" s="43"/>
      <c r="D8" s="44" t="str">
        <f aca="false">IF(AND(B8&lt;&gt;"",C8&lt;&gt;""),IF(EXACT(B8,C8),"✔","✗"),"")</f>
        <v/>
      </c>
      <c r="E8" s="45"/>
    </row>
    <row r="9" customFormat="false" ht="19.5" hidden="false" customHeight="true" outlineLevel="0" collapsed="false">
      <c r="A9" s="46" t="n">
        <v>6</v>
      </c>
      <c r="B9" s="47"/>
      <c r="C9" s="47"/>
      <c r="D9" s="48" t="str">
        <f aca="false">IF(AND(B9&lt;&gt;"",C9&lt;&gt;""),IF(EXACT(B9,C9),"✔","✗"),"")</f>
        <v/>
      </c>
      <c r="E9" s="49"/>
    </row>
    <row r="10" customFormat="false" ht="19.5" hidden="false" customHeight="true" outlineLevel="0" collapsed="false">
      <c r="A10" s="42" t="n">
        <v>7</v>
      </c>
      <c r="B10" s="43"/>
      <c r="C10" s="43"/>
      <c r="D10" s="44" t="str">
        <f aca="false">IF(AND(B10&lt;&gt;"",C10&lt;&gt;""),IF(EXACT(B10,C10),"✔","✗"),"")</f>
        <v/>
      </c>
      <c r="E10" s="45"/>
    </row>
    <row r="11" customFormat="false" ht="19.5" hidden="false" customHeight="true" outlineLevel="0" collapsed="false">
      <c r="A11" s="46" t="n">
        <v>8</v>
      </c>
      <c r="B11" s="47"/>
      <c r="C11" s="47"/>
      <c r="D11" s="48" t="str">
        <f aca="false">IF(AND(B11&lt;&gt;"",C11&lt;&gt;""),IF(EXACT(B11,C11),"✔","✗"),"")</f>
        <v/>
      </c>
      <c r="E11" s="49"/>
    </row>
    <row r="12" customFormat="false" ht="19.5" hidden="false" customHeight="true" outlineLevel="0" collapsed="false">
      <c r="A12" s="42" t="n">
        <v>9</v>
      </c>
      <c r="B12" s="43"/>
      <c r="C12" s="43"/>
      <c r="D12" s="44" t="str">
        <f aca="false">IF(AND(B12&lt;&gt;"",C12&lt;&gt;""),IF(EXACT(B12,C12),"✔","✗"),"")</f>
        <v/>
      </c>
      <c r="E12" s="45"/>
    </row>
    <row r="13" customFormat="false" ht="19.5" hidden="false" customHeight="true" outlineLevel="0" collapsed="false">
      <c r="A13" s="46" t="n">
        <v>10</v>
      </c>
      <c r="B13" s="47"/>
      <c r="C13" s="47"/>
      <c r="D13" s="48" t="str">
        <f aca="false">IF(AND(B13&lt;&gt;"",C13&lt;&gt;""),IF(EXACT(B13,C13),"✔","✗"),"")</f>
        <v/>
      </c>
      <c r="E13" s="49"/>
    </row>
    <row r="14" customFormat="false" ht="19.5" hidden="false" customHeight="true" outlineLevel="0" collapsed="false">
      <c r="A14" s="42" t="n">
        <v>11</v>
      </c>
      <c r="B14" s="43"/>
      <c r="C14" s="43"/>
      <c r="D14" s="44" t="str">
        <f aca="false">IF(AND(B14&lt;&gt;"",C14&lt;&gt;""),IF(EXACT(B14,C14),"✔","✗"),"")</f>
        <v/>
      </c>
      <c r="E14" s="45"/>
    </row>
    <row r="15" customFormat="false" ht="19.5" hidden="false" customHeight="true" outlineLevel="0" collapsed="false">
      <c r="A15" s="46" t="n">
        <v>12</v>
      </c>
      <c r="B15" s="47"/>
      <c r="C15" s="47"/>
      <c r="D15" s="48" t="str">
        <f aca="false">IF(AND(B15&lt;&gt;"",C15&lt;&gt;""),IF(EXACT(B15,C15),"✔","✗"),"")</f>
        <v/>
      </c>
      <c r="E15" s="49"/>
    </row>
    <row r="16" customFormat="false" ht="6" hidden="false" customHeight="true" outlineLevel="0" collapsed="false"/>
    <row r="17" customFormat="false" ht="21.75" hidden="false" customHeight="true" outlineLevel="0" collapsed="false">
      <c r="A17" s="56" t="s">
        <v>42</v>
      </c>
      <c r="B17" s="56"/>
      <c r="C17" s="56"/>
      <c r="D17" s="56"/>
      <c r="E17" s="56"/>
      <c r="F17" s="56"/>
      <c r="G17" s="56"/>
      <c r="H17" s="56"/>
      <c r="I17" s="56"/>
      <c r="J17" s="56"/>
      <c r="K17" s="56"/>
    </row>
    <row r="18" customFormat="false" ht="19.5" hidden="false" customHeight="true" outlineLevel="0" collapsed="false">
      <c r="A18" s="57" t="s">
        <v>43</v>
      </c>
      <c r="B18" s="57"/>
      <c r="C18" s="57"/>
      <c r="D18" s="57"/>
      <c r="E18" s="57"/>
      <c r="F18" s="52" t="n">
        <v>12</v>
      </c>
      <c r="G18" s="52"/>
      <c r="H18" s="52"/>
      <c r="I18" s="52"/>
      <c r="J18" s="52"/>
      <c r="K18" s="52"/>
    </row>
    <row r="19" customFormat="false" ht="19.5" hidden="false" customHeight="true" outlineLevel="0" collapsed="false">
      <c r="A19" s="57" t="s">
        <v>44</v>
      </c>
      <c r="B19" s="57"/>
      <c r="C19" s="57"/>
      <c r="D19" s="57"/>
      <c r="E19" s="57"/>
      <c r="F19" s="52" t="n">
        <f aca="false">COUNTIF(B4:B15,"&lt;&gt;"&amp;"")</f>
        <v>0</v>
      </c>
      <c r="G19" s="52"/>
      <c r="H19" s="52"/>
      <c r="I19" s="52"/>
      <c r="J19" s="52"/>
      <c r="K19" s="52"/>
    </row>
    <row r="20" customFormat="false" ht="19.5" hidden="false" customHeight="true" outlineLevel="0" collapsed="false">
      <c r="A20" s="57" t="s">
        <v>45</v>
      </c>
      <c r="B20" s="57"/>
      <c r="C20" s="57"/>
      <c r="D20" s="57"/>
      <c r="E20" s="57"/>
      <c r="F20" s="52" t="n">
        <f aca="false">COUNTIF(D4:D15,"✔")</f>
        <v>0</v>
      </c>
      <c r="G20" s="52"/>
      <c r="H20" s="52"/>
      <c r="I20" s="52"/>
      <c r="J20" s="52"/>
      <c r="K20" s="52"/>
    </row>
    <row r="21" customFormat="false" ht="19.5" hidden="false" customHeight="true" outlineLevel="0" collapsed="false">
      <c r="A21" s="57" t="s">
        <v>46</v>
      </c>
      <c r="B21" s="57"/>
      <c r="C21" s="57"/>
      <c r="D21" s="57"/>
      <c r="E21" s="57"/>
      <c r="F21" s="52" t="n">
        <f aca="false">COUNTIF(D4:D15,"✗")</f>
        <v>0</v>
      </c>
      <c r="G21" s="52"/>
      <c r="H21" s="52"/>
      <c r="I21" s="52"/>
      <c r="J21" s="52"/>
      <c r="K21" s="52"/>
    </row>
    <row r="22" customFormat="false" ht="19.5" hidden="false" customHeight="true" outlineLevel="0" collapsed="false">
      <c r="A22" s="57" t="s">
        <v>5</v>
      </c>
      <c r="B22" s="57"/>
      <c r="C22" s="57"/>
      <c r="D22" s="57"/>
      <c r="E22" s="57"/>
      <c r="F22" s="53" t="n">
        <f aca="false">IFERROR(F20/12*100,0)</f>
        <v>0</v>
      </c>
      <c r="G22" s="53"/>
      <c r="H22" s="53"/>
      <c r="I22" s="53"/>
      <c r="J22" s="53"/>
      <c r="K22" s="53"/>
    </row>
  </sheetData>
  <mergeCells count="13">
    <mergeCell ref="A1:E1"/>
    <mergeCell ref="A2:E2"/>
    <mergeCell ref="A17:K17"/>
    <mergeCell ref="A18:E18"/>
    <mergeCell ref="F18:K18"/>
    <mergeCell ref="A19:E19"/>
    <mergeCell ref="F19:K19"/>
    <mergeCell ref="A20:E20"/>
    <mergeCell ref="F20:K20"/>
    <mergeCell ref="A21:E21"/>
    <mergeCell ref="F21:K21"/>
    <mergeCell ref="A22:E22"/>
    <mergeCell ref="F22:K22"/>
  </mergeCells>
  <conditionalFormatting sqref="D4:D15">
    <cfRule type="expression" priority="2" aboveAverage="0" equalAverage="0" bottom="0" percent="0" rank="0" text="" dxfId="0">
      <formula>D4="✔"</formula>
    </cfRule>
    <cfRule type="expression" priority="3" aboveAverage="0" equalAverage="0" bottom="0" percent="0" rank="0" text="" dxfId="2">
      <formula>D4="✗"</formula>
    </cfRule>
  </conditionalFormatting>
  <dataValidations count="2">
    <dataValidation allowBlank="true" errorStyle="stop" operator="between" showDropDown="false" showErrorMessage="false" showInputMessage="false" sqref="B4:B15" type="list">
      <formula1>"A,B,C,D,E"</formula1>
      <formula2>0</formula2>
    </dataValidation>
    <dataValidation allowBlank="true" errorStyle="stop" operator="between" showDropDown="false" showErrorMessage="false" showInputMessage="false" sqref="C4:C15" type="list">
      <formula1>"A,B,C,D,E"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24"/>
  </cols>
  <sheetData>
    <row r="1" customFormat="false" ht="36" hidden="false" customHeight="true" outlineLevel="0" collapsed="false">
      <c r="A1" s="58" t="s">
        <v>51</v>
      </c>
      <c r="B1" s="58"/>
      <c r="C1" s="58"/>
      <c r="D1" s="58"/>
      <c r="E1" s="58"/>
    </row>
    <row r="2" customFormat="false" ht="18" hidden="false" customHeight="true" outlineLevel="0" collapsed="false">
      <c r="A2" s="59" t="s">
        <v>36</v>
      </c>
      <c r="B2" s="59"/>
      <c r="C2" s="59"/>
      <c r="D2" s="59"/>
      <c r="E2" s="59"/>
    </row>
    <row r="3" customFormat="false" ht="21.75" hidden="false" customHeight="true" outlineLevel="0" collapsed="false">
      <c r="A3" s="4" t="s">
        <v>37</v>
      </c>
      <c r="B3" s="4" t="s">
        <v>38</v>
      </c>
      <c r="C3" s="4" t="s">
        <v>39</v>
      </c>
      <c r="D3" s="4" t="s">
        <v>40</v>
      </c>
      <c r="E3" s="4" t="s">
        <v>41</v>
      </c>
    </row>
    <row r="4" customFormat="false" ht="19.5" hidden="false" customHeight="true" outlineLevel="0" collapsed="false">
      <c r="A4" s="42" t="n">
        <v>1</v>
      </c>
      <c r="B4" s="43"/>
      <c r="C4" s="43"/>
      <c r="D4" s="44" t="str">
        <f aca="false">IF(AND(B4&lt;&gt;"",C4&lt;&gt;""),IF(EXACT(B4,C4),"✔","✗"),"")</f>
        <v/>
      </c>
      <c r="E4" s="45"/>
    </row>
    <row r="5" customFormat="false" ht="19.5" hidden="false" customHeight="true" outlineLevel="0" collapsed="false">
      <c r="A5" s="46" t="n">
        <v>2</v>
      </c>
      <c r="B5" s="47"/>
      <c r="C5" s="47"/>
      <c r="D5" s="48" t="str">
        <f aca="false">IF(AND(B5&lt;&gt;"",C5&lt;&gt;""),IF(EXACT(B5,C5),"✔","✗"),"")</f>
        <v/>
      </c>
      <c r="E5" s="49"/>
    </row>
    <row r="6" customFormat="false" ht="19.5" hidden="false" customHeight="true" outlineLevel="0" collapsed="false">
      <c r="A6" s="42" t="n">
        <v>3</v>
      </c>
      <c r="B6" s="43"/>
      <c r="C6" s="43"/>
      <c r="D6" s="44" t="str">
        <f aca="false">IF(AND(B6&lt;&gt;"",C6&lt;&gt;""),IF(EXACT(B6,C6),"✔","✗"),"")</f>
        <v/>
      </c>
      <c r="E6" s="45"/>
    </row>
    <row r="7" customFormat="false" ht="19.5" hidden="false" customHeight="true" outlineLevel="0" collapsed="false">
      <c r="A7" s="46" t="n">
        <v>4</v>
      </c>
      <c r="B7" s="47"/>
      <c r="C7" s="47"/>
      <c r="D7" s="48" t="str">
        <f aca="false">IF(AND(B7&lt;&gt;"",C7&lt;&gt;""),IF(EXACT(B7,C7),"✔","✗"),"")</f>
        <v/>
      </c>
      <c r="E7" s="49"/>
    </row>
    <row r="8" customFormat="false" ht="19.5" hidden="false" customHeight="true" outlineLevel="0" collapsed="false">
      <c r="A8" s="42" t="n">
        <v>5</v>
      </c>
      <c r="B8" s="43"/>
      <c r="C8" s="43"/>
      <c r="D8" s="44" t="str">
        <f aca="false">IF(AND(B8&lt;&gt;"",C8&lt;&gt;""),IF(EXACT(B8,C8),"✔","✗"),"")</f>
        <v/>
      </c>
      <c r="E8" s="45"/>
    </row>
    <row r="9" customFormat="false" ht="19.5" hidden="false" customHeight="true" outlineLevel="0" collapsed="false">
      <c r="A9" s="46" t="n">
        <v>6</v>
      </c>
      <c r="B9" s="47"/>
      <c r="C9" s="47"/>
      <c r="D9" s="48" t="str">
        <f aca="false">IF(AND(B9&lt;&gt;"",C9&lt;&gt;""),IF(EXACT(B9,C9),"✔","✗"),"")</f>
        <v/>
      </c>
      <c r="E9" s="49"/>
    </row>
    <row r="10" customFormat="false" ht="19.5" hidden="false" customHeight="true" outlineLevel="0" collapsed="false">
      <c r="A10" s="42" t="n">
        <v>7</v>
      </c>
      <c r="B10" s="43"/>
      <c r="C10" s="43"/>
      <c r="D10" s="44" t="str">
        <f aca="false">IF(AND(B10&lt;&gt;"",C10&lt;&gt;""),IF(EXACT(B10,C10),"✔","✗"),"")</f>
        <v/>
      </c>
      <c r="E10" s="45"/>
    </row>
    <row r="11" customFormat="false" ht="19.5" hidden="false" customHeight="true" outlineLevel="0" collapsed="false">
      <c r="A11" s="46" t="n">
        <v>8</v>
      </c>
      <c r="B11" s="47"/>
      <c r="C11" s="47"/>
      <c r="D11" s="48" t="str">
        <f aca="false">IF(AND(B11&lt;&gt;"",C11&lt;&gt;""),IF(EXACT(B11,C11),"✔","✗"),"")</f>
        <v/>
      </c>
      <c r="E11" s="49"/>
    </row>
    <row r="12" customFormat="false" ht="19.5" hidden="false" customHeight="true" outlineLevel="0" collapsed="false">
      <c r="A12" s="42" t="n">
        <v>9</v>
      </c>
      <c r="B12" s="43"/>
      <c r="C12" s="43"/>
      <c r="D12" s="44" t="str">
        <f aca="false">IF(AND(B12&lt;&gt;"",C12&lt;&gt;""),IF(EXACT(B12,C12),"✔","✗"),"")</f>
        <v/>
      </c>
      <c r="E12" s="45"/>
    </row>
    <row r="13" customFormat="false" ht="19.5" hidden="false" customHeight="true" outlineLevel="0" collapsed="false">
      <c r="A13" s="46" t="n">
        <v>10</v>
      </c>
      <c r="B13" s="47"/>
      <c r="C13" s="47"/>
      <c r="D13" s="48" t="str">
        <f aca="false">IF(AND(B13&lt;&gt;"",C13&lt;&gt;""),IF(EXACT(B13,C13),"✔","✗"),"")</f>
        <v/>
      </c>
      <c r="E13" s="49"/>
    </row>
    <row r="14" customFormat="false" ht="19.5" hidden="false" customHeight="true" outlineLevel="0" collapsed="false">
      <c r="A14" s="42" t="n">
        <v>11</v>
      </c>
      <c r="B14" s="43"/>
      <c r="C14" s="43"/>
      <c r="D14" s="44" t="str">
        <f aca="false">IF(AND(B14&lt;&gt;"",C14&lt;&gt;""),IF(EXACT(B14,C14),"✔","✗"),"")</f>
        <v/>
      </c>
      <c r="E14" s="45"/>
    </row>
    <row r="15" customFormat="false" ht="19.5" hidden="false" customHeight="true" outlineLevel="0" collapsed="false">
      <c r="A15" s="46" t="n">
        <v>12</v>
      </c>
      <c r="B15" s="47"/>
      <c r="C15" s="47"/>
      <c r="D15" s="48" t="str">
        <f aca="false">IF(AND(B15&lt;&gt;"",C15&lt;&gt;""),IF(EXACT(B15,C15),"✔","✗"),"")</f>
        <v/>
      </c>
      <c r="E15" s="49"/>
    </row>
    <row r="16" customFormat="false" ht="19.5" hidden="false" customHeight="true" outlineLevel="0" collapsed="false">
      <c r="A16" s="42" t="n">
        <v>13</v>
      </c>
      <c r="B16" s="43"/>
      <c r="C16" s="43"/>
      <c r="D16" s="44" t="str">
        <f aca="false">IF(AND(B16&lt;&gt;"",C16&lt;&gt;""),IF(EXACT(B16,C16),"✔","✗"),"")</f>
        <v/>
      </c>
      <c r="E16" s="45"/>
    </row>
    <row r="17" customFormat="false" ht="19.5" hidden="false" customHeight="true" outlineLevel="0" collapsed="false">
      <c r="A17" s="46" t="n">
        <v>14</v>
      </c>
      <c r="B17" s="47"/>
      <c r="C17" s="47"/>
      <c r="D17" s="48" t="str">
        <f aca="false">IF(AND(B17&lt;&gt;"",C17&lt;&gt;""),IF(EXACT(B17,C17),"✔","✗"),"")</f>
        <v/>
      </c>
      <c r="E17" s="49"/>
    </row>
    <row r="18" customFormat="false" ht="19.5" hidden="false" customHeight="true" outlineLevel="0" collapsed="false">
      <c r="A18" s="42" t="n">
        <v>15</v>
      </c>
      <c r="B18" s="43"/>
      <c r="C18" s="43"/>
      <c r="D18" s="44" t="str">
        <f aca="false">IF(AND(B18&lt;&gt;"",C18&lt;&gt;""),IF(EXACT(B18,C18),"✔","✗"),"")</f>
        <v/>
      </c>
      <c r="E18" s="45"/>
    </row>
    <row r="19" customFormat="false" ht="6" hidden="false" customHeight="true" outlineLevel="0" collapsed="false"/>
    <row r="20" customFormat="false" ht="21.75" hidden="false" customHeight="true" outlineLevel="0" collapsed="false">
      <c r="A20" s="60" t="s">
        <v>42</v>
      </c>
      <c r="B20" s="60"/>
      <c r="C20" s="60"/>
      <c r="D20" s="60"/>
      <c r="E20" s="60"/>
      <c r="F20" s="60"/>
      <c r="G20" s="60"/>
      <c r="H20" s="60"/>
      <c r="I20" s="60"/>
      <c r="J20" s="60"/>
      <c r="K20" s="60"/>
    </row>
    <row r="21" customFormat="false" ht="19.5" hidden="false" customHeight="true" outlineLevel="0" collapsed="false">
      <c r="A21" s="61" t="s">
        <v>43</v>
      </c>
      <c r="B21" s="61"/>
      <c r="C21" s="61"/>
      <c r="D21" s="61"/>
      <c r="E21" s="61"/>
      <c r="F21" s="52" t="n">
        <v>15</v>
      </c>
      <c r="G21" s="52"/>
      <c r="H21" s="52"/>
      <c r="I21" s="52"/>
      <c r="J21" s="52"/>
      <c r="K21" s="52"/>
    </row>
    <row r="22" customFormat="false" ht="19.5" hidden="false" customHeight="true" outlineLevel="0" collapsed="false">
      <c r="A22" s="61" t="s">
        <v>44</v>
      </c>
      <c r="B22" s="61"/>
      <c r="C22" s="61"/>
      <c r="D22" s="61"/>
      <c r="E22" s="61"/>
      <c r="F22" s="52" t="n">
        <f aca="false">COUNTIF(B4:B18,"&lt;&gt;"&amp;"")</f>
        <v>0</v>
      </c>
      <c r="G22" s="52"/>
      <c r="H22" s="52"/>
      <c r="I22" s="52"/>
      <c r="J22" s="52"/>
      <c r="K22" s="52"/>
    </row>
    <row r="23" customFormat="false" ht="19.5" hidden="false" customHeight="true" outlineLevel="0" collapsed="false">
      <c r="A23" s="61" t="s">
        <v>45</v>
      </c>
      <c r="B23" s="61"/>
      <c r="C23" s="61"/>
      <c r="D23" s="61"/>
      <c r="E23" s="61"/>
      <c r="F23" s="52" t="n">
        <f aca="false">COUNTIF(D4:D18,"✔")</f>
        <v>0</v>
      </c>
      <c r="G23" s="52"/>
      <c r="H23" s="52"/>
      <c r="I23" s="52"/>
      <c r="J23" s="52"/>
      <c r="K23" s="52"/>
    </row>
    <row r="24" customFormat="false" ht="19.5" hidden="false" customHeight="true" outlineLevel="0" collapsed="false">
      <c r="A24" s="61" t="s">
        <v>46</v>
      </c>
      <c r="B24" s="61"/>
      <c r="C24" s="61"/>
      <c r="D24" s="61"/>
      <c r="E24" s="61"/>
      <c r="F24" s="52" t="n">
        <f aca="false">COUNTIF(D4:D18,"✗")</f>
        <v>0</v>
      </c>
      <c r="G24" s="52"/>
      <c r="H24" s="52"/>
      <c r="I24" s="52"/>
      <c r="J24" s="52"/>
      <c r="K24" s="52"/>
    </row>
    <row r="25" customFormat="false" ht="19.5" hidden="false" customHeight="true" outlineLevel="0" collapsed="false">
      <c r="A25" s="61" t="s">
        <v>5</v>
      </c>
      <c r="B25" s="61"/>
      <c r="C25" s="61"/>
      <c r="D25" s="61"/>
      <c r="E25" s="61"/>
      <c r="F25" s="53" t="n">
        <f aca="false">IFERROR(F23/15*100,0)</f>
        <v>0</v>
      </c>
      <c r="G25" s="53"/>
      <c r="H25" s="53"/>
      <c r="I25" s="53"/>
      <c r="J25" s="53"/>
      <c r="K25" s="53"/>
    </row>
  </sheetData>
  <mergeCells count="13">
    <mergeCell ref="A1:E1"/>
    <mergeCell ref="A2:E2"/>
    <mergeCell ref="A20:K20"/>
    <mergeCell ref="A21:E21"/>
    <mergeCell ref="F21:K21"/>
    <mergeCell ref="A22:E22"/>
    <mergeCell ref="F22:K22"/>
    <mergeCell ref="A23:E23"/>
    <mergeCell ref="F23:K23"/>
    <mergeCell ref="A24:E24"/>
    <mergeCell ref="F24:K24"/>
    <mergeCell ref="A25:E25"/>
    <mergeCell ref="F25:K25"/>
  </mergeCells>
  <conditionalFormatting sqref="D4:D18">
    <cfRule type="expression" priority="2" aboveAverage="0" equalAverage="0" bottom="0" percent="0" rank="0" text="" dxfId="0">
      <formula>D4="✔"</formula>
    </cfRule>
    <cfRule type="expression" priority="3" aboveAverage="0" equalAverage="0" bottom="0" percent="0" rank="0" text="" dxfId="2">
      <formula>D4="✗"</formula>
    </cfRule>
  </conditionalFormatting>
  <dataValidations count="2">
    <dataValidation allowBlank="true" errorStyle="stop" operator="between" showDropDown="false" showErrorMessage="false" showInputMessage="false" sqref="B4:B18" type="list">
      <formula1>"A,B,C,D,E"</formula1>
      <formula2>0</formula2>
    </dataValidation>
    <dataValidation allowBlank="true" errorStyle="stop" operator="between" showDropDown="false" showErrorMessage="false" showInputMessage="false" sqref="C4:C18" type="list">
      <formula1>"A,B,C,D,E"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24"/>
  </cols>
  <sheetData>
    <row r="1" customFormat="false" ht="36" hidden="false" customHeight="true" outlineLevel="0" collapsed="false">
      <c r="A1" s="58" t="s">
        <v>52</v>
      </c>
      <c r="B1" s="58"/>
      <c r="C1" s="58"/>
      <c r="D1" s="58"/>
      <c r="E1" s="58"/>
    </row>
    <row r="2" customFormat="false" ht="18" hidden="false" customHeight="true" outlineLevel="0" collapsed="false">
      <c r="A2" s="59" t="s">
        <v>36</v>
      </c>
      <c r="B2" s="59"/>
      <c r="C2" s="59"/>
      <c r="D2" s="59"/>
      <c r="E2" s="59"/>
    </row>
    <row r="3" customFormat="false" ht="21.75" hidden="false" customHeight="true" outlineLevel="0" collapsed="false">
      <c r="A3" s="4" t="s">
        <v>37</v>
      </c>
      <c r="B3" s="4" t="s">
        <v>38</v>
      </c>
      <c r="C3" s="4" t="s">
        <v>39</v>
      </c>
      <c r="D3" s="4" t="s">
        <v>40</v>
      </c>
      <c r="E3" s="4" t="s">
        <v>41</v>
      </c>
    </row>
    <row r="4" customFormat="false" ht="19.5" hidden="false" customHeight="true" outlineLevel="0" collapsed="false">
      <c r="A4" s="42" t="n">
        <v>1</v>
      </c>
      <c r="B4" s="43"/>
      <c r="C4" s="43"/>
      <c r="D4" s="44" t="str">
        <f aca="false">IF(AND(B4&lt;&gt;"",C4&lt;&gt;""),IF(EXACT(B4,C4),"✔","✗"),"")</f>
        <v/>
      </c>
      <c r="E4" s="45"/>
    </row>
    <row r="5" customFormat="false" ht="19.5" hidden="false" customHeight="true" outlineLevel="0" collapsed="false">
      <c r="A5" s="46" t="n">
        <v>2</v>
      </c>
      <c r="B5" s="47"/>
      <c r="C5" s="47"/>
      <c r="D5" s="48" t="str">
        <f aca="false">IF(AND(B5&lt;&gt;"",C5&lt;&gt;""),IF(EXACT(B5,C5),"✔","✗"),"")</f>
        <v/>
      </c>
      <c r="E5" s="49"/>
    </row>
    <row r="6" customFormat="false" ht="19.5" hidden="false" customHeight="true" outlineLevel="0" collapsed="false">
      <c r="A6" s="42" t="n">
        <v>3</v>
      </c>
      <c r="B6" s="43"/>
      <c r="C6" s="43"/>
      <c r="D6" s="44" t="str">
        <f aca="false">IF(AND(B6&lt;&gt;"",C6&lt;&gt;""),IF(EXACT(B6,C6),"✔","✗"),"")</f>
        <v/>
      </c>
      <c r="E6" s="45"/>
    </row>
    <row r="7" customFormat="false" ht="19.5" hidden="false" customHeight="true" outlineLevel="0" collapsed="false">
      <c r="A7" s="46" t="n">
        <v>4</v>
      </c>
      <c r="B7" s="47"/>
      <c r="C7" s="47"/>
      <c r="D7" s="48" t="str">
        <f aca="false">IF(AND(B7&lt;&gt;"",C7&lt;&gt;""),IF(EXACT(B7,C7),"✔","✗"),"")</f>
        <v/>
      </c>
      <c r="E7" s="49"/>
    </row>
    <row r="8" customFormat="false" ht="19.5" hidden="false" customHeight="true" outlineLevel="0" collapsed="false">
      <c r="A8" s="42" t="n">
        <v>5</v>
      </c>
      <c r="B8" s="43"/>
      <c r="C8" s="43"/>
      <c r="D8" s="44" t="str">
        <f aca="false">IF(AND(B8&lt;&gt;"",C8&lt;&gt;""),IF(EXACT(B8,C8),"✔","✗"),"")</f>
        <v/>
      </c>
      <c r="E8" s="45"/>
    </row>
    <row r="9" customFormat="false" ht="19.5" hidden="false" customHeight="true" outlineLevel="0" collapsed="false">
      <c r="A9" s="46" t="n">
        <v>6</v>
      </c>
      <c r="B9" s="47"/>
      <c r="C9" s="47"/>
      <c r="D9" s="48" t="str">
        <f aca="false">IF(AND(B9&lt;&gt;"",C9&lt;&gt;""),IF(EXACT(B9,C9),"✔","✗"),"")</f>
        <v/>
      </c>
      <c r="E9" s="49"/>
    </row>
    <row r="10" customFormat="false" ht="19.5" hidden="false" customHeight="true" outlineLevel="0" collapsed="false">
      <c r="A10" s="42" t="n">
        <v>7</v>
      </c>
      <c r="B10" s="43"/>
      <c r="C10" s="43"/>
      <c r="D10" s="44" t="str">
        <f aca="false">IF(AND(B10&lt;&gt;"",C10&lt;&gt;""),IF(EXACT(B10,C10),"✔","✗"),"")</f>
        <v/>
      </c>
      <c r="E10" s="45"/>
    </row>
    <row r="11" customFormat="false" ht="19.5" hidden="false" customHeight="true" outlineLevel="0" collapsed="false">
      <c r="A11" s="46" t="n">
        <v>8</v>
      </c>
      <c r="B11" s="47"/>
      <c r="C11" s="47"/>
      <c r="D11" s="48" t="str">
        <f aca="false">IF(AND(B11&lt;&gt;"",C11&lt;&gt;""),IF(EXACT(B11,C11),"✔","✗"),"")</f>
        <v/>
      </c>
      <c r="E11" s="49"/>
    </row>
    <row r="12" customFormat="false" ht="19.5" hidden="false" customHeight="true" outlineLevel="0" collapsed="false">
      <c r="A12" s="42" t="n">
        <v>9</v>
      </c>
      <c r="B12" s="43"/>
      <c r="C12" s="43"/>
      <c r="D12" s="44" t="str">
        <f aca="false">IF(AND(B12&lt;&gt;"",C12&lt;&gt;""),IF(EXACT(B12,C12),"✔","✗"),"")</f>
        <v/>
      </c>
      <c r="E12" s="45"/>
    </row>
    <row r="13" customFormat="false" ht="19.5" hidden="false" customHeight="true" outlineLevel="0" collapsed="false">
      <c r="A13" s="46" t="n">
        <v>10</v>
      </c>
      <c r="B13" s="47"/>
      <c r="C13" s="47"/>
      <c r="D13" s="48" t="str">
        <f aca="false">IF(AND(B13&lt;&gt;"",C13&lt;&gt;""),IF(EXACT(B13,C13),"✔","✗"),"")</f>
        <v/>
      </c>
      <c r="E13" s="49"/>
    </row>
    <row r="14" customFormat="false" ht="19.5" hidden="false" customHeight="true" outlineLevel="0" collapsed="false">
      <c r="A14" s="42" t="n">
        <v>11</v>
      </c>
      <c r="B14" s="43"/>
      <c r="C14" s="43"/>
      <c r="D14" s="44" t="str">
        <f aca="false">IF(AND(B14&lt;&gt;"",C14&lt;&gt;""),IF(EXACT(B14,C14),"✔","✗"),"")</f>
        <v/>
      </c>
      <c r="E14" s="45"/>
    </row>
    <row r="15" customFormat="false" ht="19.5" hidden="false" customHeight="true" outlineLevel="0" collapsed="false">
      <c r="A15" s="46" t="n">
        <v>12</v>
      </c>
      <c r="B15" s="47"/>
      <c r="C15" s="47"/>
      <c r="D15" s="48" t="str">
        <f aca="false">IF(AND(B15&lt;&gt;"",C15&lt;&gt;""),IF(EXACT(B15,C15),"✔","✗"),"")</f>
        <v/>
      </c>
      <c r="E15" s="49"/>
    </row>
    <row r="16" customFormat="false" ht="19.5" hidden="false" customHeight="true" outlineLevel="0" collapsed="false">
      <c r="A16" s="42" t="n">
        <v>13</v>
      </c>
      <c r="B16" s="43"/>
      <c r="C16" s="43"/>
      <c r="D16" s="44" t="str">
        <f aca="false">IF(AND(B16&lt;&gt;"",C16&lt;&gt;""),IF(EXACT(B16,C16),"✔","✗"),"")</f>
        <v/>
      </c>
      <c r="E16" s="45"/>
    </row>
    <row r="17" customFormat="false" ht="19.5" hidden="false" customHeight="true" outlineLevel="0" collapsed="false">
      <c r="A17" s="46" t="n">
        <v>14</v>
      </c>
      <c r="B17" s="47"/>
      <c r="C17" s="47"/>
      <c r="D17" s="48" t="str">
        <f aca="false">IF(AND(B17&lt;&gt;"",C17&lt;&gt;""),IF(EXACT(B17,C17),"✔","✗"),"")</f>
        <v/>
      </c>
      <c r="E17" s="49"/>
    </row>
    <row r="18" customFormat="false" ht="19.5" hidden="false" customHeight="true" outlineLevel="0" collapsed="false">
      <c r="A18" s="42" t="n">
        <v>15</v>
      </c>
      <c r="B18" s="43"/>
      <c r="C18" s="43"/>
      <c r="D18" s="44" t="str">
        <f aca="false">IF(AND(B18&lt;&gt;"",C18&lt;&gt;""),IF(EXACT(B18,C18),"✔","✗"),"")</f>
        <v/>
      </c>
      <c r="E18" s="45"/>
    </row>
    <row r="19" customFormat="false" ht="19.5" hidden="false" customHeight="true" outlineLevel="0" collapsed="false">
      <c r="A19" s="46" t="n">
        <v>16</v>
      </c>
      <c r="B19" s="47"/>
      <c r="C19" s="47"/>
      <c r="D19" s="48" t="str">
        <f aca="false">IF(AND(B19&lt;&gt;"",C19&lt;&gt;""),IF(EXACT(B19,C19),"✔","✗"),"")</f>
        <v/>
      </c>
      <c r="E19" s="49"/>
    </row>
    <row r="20" customFormat="false" ht="19.5" hidden="false" customHeight="true" outlineLevel="0" collapsed="false">
      <c r="A20" s="42" t="n">
        <v>17</v>
      </c>
      <c r="B20" s="43"/>
      <c r="C20" s="43"/>
      <c r="D20" s="44" t="str">
        <f aca="false">IF(AND(B20&lt;&gt;"",C20&lt;&gt;""),IF(EXACT(B20,C20),"✔","✗"),"")</f>
        <v/>
      </c>
      <c r="E20" s="45"/>
    </row>
    <row r="21" customFormat="false" ht="19.5" hidden="false" customHeight="true" outlineLevel="0" collapsed="false">
      <c r="A21" s="46" t="n">
        <v>18</v>
      </c>
      <c r="B21" s="47"/>
      <c r="C21" s="47"/>
      <c r="D21" s="48" t="str">
        <f aca="false">IF(AND(B21&lt;&gt;"",C21&lt;&gt;""),IF(EXACT(B21,C21),"✔","✗"),"")</f>
        <v/>
      </c>
      <c r="E21" s="49"/>
    </row>
    <row r="22" customFormat="false" ht="19.5" hidden="false" customHeight="true" outlineLevel="0" collapsed="false">
      <c r="A22" s="42" t="n">
        <v>19</v>
      </c>
      <c r="B22" s="43"/>
      <c r="C22" s="43"/>
      <c r="D22" s="44" t="str">
        <f aca="false">IF(AND(B22&lt;&gt;"",C22&lt;&gt;""),IF(EXACT(B22,C22),"✔","✗"),"")</f>
        <v/>
      </c>
      <c r="E22" s="45"/>
    </row>
    <row r="23" customFormat="false" ht="19.5" hidden="false" customHeight="true" outlineLevel="0" collapsed="false">
      <c r="A23" s="46" t="n">
        <v>20</v>
      </c>
      <c r="B23" s="47"/>
      <c r="C23" s="47"/>
      <c r="D23" s="48" t="str">
        <f aca="false">IF(AND(B23&lt;&gt;"",C23&lt;&gt;""),IF(EXACT(B23,C23),"✔","✗"),"")</f>
        <v/>
      </c>
      <c r="E23" s="49"/>
    </row>
    <row r="24" customFormat="false" ht="19.5" hidden="false" customHeight="true" outlineLevel="0" collapsed="false">
      <c r="A24" s="42" t="n">
        <v>21</v>
      </c>
      <c r="B24" s="43"/>
      <c r="C24" s="43"/>
      <c r="D24" s="44" t="str">
        <f aca="false">IF(AND(B24&lt;&gt;"",C24&lt;&gt;""),IF(EXACT(B24,C24),"✔","✗"),"")</f>
        <v/>
      </c>
      <c r="E24" s="45"/>
    </row>
    <row r="25" customFormat="false" ht="19.5" hidden="false" customHeight="true" outlineLevel="0" collapsed="false">
      <c r="A25" s="46" t="n">
        <v>22</v>
      </c>
      <c r="B25" s="47"/>
      <c r="C25" s="47"/>
      <c r="D25" s="48" t="str">
        <f aca="false">IF(AND(B25&lt;&gt;"",C25&lt;&gt;""),IF(EXACT(B25,C25),"✔","✗"),"")</f>
        <v/>
      </c>
      <c r="E25" s="49"/>
    </row>
    <row r="26" customFormat="false" ht="19.5" hidden="false" customHeight="true" outlineLevel="0" collapsed="false">
      <c r="A26" s="42" t="n">
        <v>23</v>
      </c>
      <c r="B26" s="43"/>
      <c r="C26" s="43"/>
      <c r="D26" s="44" t="str">
        <f aca="false">IF(AND(B26&lt;&gt;"",C26&lt;&gt;""),IF(EXACT(B26,C26),"✔","✗"),"")</f>
        <v/>
      </c>
      <c r="E26" s="45"/>
    </row>
    <row r="27" customFormat="false" ht="19.5" hidden="false" customHeight="true" outlineLevel="0" collapsed="false">
      <c r="A27" s="46" t="n">
        <v>24</v>
      </c>
      <c r="B27" s="47"/>
      <c r="C27" s="47"/>
      <c r="D27" s="48" t="str">
        <f aca="false">IF(AND(B27&lt;&gt;"",C27&lt;&gt;""),IF(EXACT(B27,C27),"✔","✗"),"")</f>
        <v/>
      </c>
      <c r="E27" s="49"/>
    </row>
    <row r="28" customFormat="false" ht="19.5" hidden="false" customHeight="true" outlineLevel="0" collapsed="false">
      <c r="A28" s="42" t="n">
        <v>25</v>
      </c>
      <c r="B28" s="43"/>
      <c r="C28" s="43"/>
      <c r="D28" s="44" t="str">
        <f aca="false">IF(AND(B28&lt;&gt;"",C28&lt;&gt;""),IF(EXACT(B28,C28),"✔","✗"),"")</f>
        <v/>
      </c>
      <c r="E28" s="45"/>
    </row>
    <row r="29" customFormat="false" ht="6" hidden="false" customHeight="true" outlineLevel="0" collapsed="false"/>
    <row r="30" customFormat="false" ht="21.75" hidden="false" customHeight="true" outlineLevel="0" collapsed="false">
      <c r="A30" s="60" t="s">
        <v>42</v>
      </c>
      <c r="B30" s="60"/>
      <c r="C30" s="60"/>
      <c r="D30" s="60"/>
      <c r="E30" s="60"/>
      <c r="F30" s="60"/>
      <c r="G30" s="60"/>
      <c r="H30" s="60"/>
      <c r="I30" s="60"/>
      <c r="J30" s="60"/>
      <c r="K30" s="60"/>
    </row>
    <row r="31" customFormat="false" ht="19.5" hidden="false" customHeight="true" outlineLevel="0" collapsed="false">
      <c r="A31" s="61" t="s">
        <v>43</v>
      </c>
      <c r="B31" s="61"/>
      <c r="C31" s="61"/>
      <c r="D31" s="61"/>
      <c r="E31" s="61"/>
      <c r="F31" s="52" t="n">
        <v>25</v>
      </c>
      <c r="G31" s="52"/>
      <c r="H31" s="52"/>
      <c r="I31" s="52"/>
      <c r="J31" s="52"/>
      <c r="K31" s="52"/>
    </row>
    <row r="32" customFormat="false" ht="19.5" hidden="false" customHeight="true" outlineLevel="0" collapsed="false">
      <c r="A32" s="61" t="s">
        <v>44</v>
      </c>
      <c r="B32" s="61"/>
      <c r="C32" s="61"/>
      <c r="D32" s="61"/>
      <c r="E32" s="61"/>
      <c r="F32" s="52" t="n">
        <f aca="false">COUNTIF(B4:B28,"&lt;&gt;"&amp;"")</f>
        <v>0</v>
      </c>
      <c r="G32" s="52"/>
      <c r="H32" s="52"/>
      <c r="I32" s="52"/>
      <c r="J32" s="52"/>
      <c r="K32" s="52"/>
    </row>
    <row r="33" customFormat="false" ht="19.5" hidden="false" customHeight="true" outlineLevel="0" collapsed="false">
      <c r="A33" s="61" t="s">
        <v>45</v>
      </c>
      <c r="B33" s="61"/>
      <c r="C33" s="61"/>
      <c r="D33" s="61"/>
      <c r="E33" s="61"/>
      <c r="F33" s="52" t="n">
        <f aca="false">COUNTIF(D4:D28,"✔")</f>
        <v>0</v>
      </c>
      <c r="G33" s="52"/>
      <c r="H33" s="52"/>
      <c r="I33" s="52"/>
      <c r="J33" s="52"/>
      <c r="K33" s="52"/>
    </row>
    <row r="34" customFormat="false" ht="19.5" hidden="false" customHeight="true" outlineLevel="0" collapsed="false">
      <c r="A34" s="61" t="s">
        <v>46</v>
      </c>
      <c r="B34" s="61"/>
      <c r="C34" s="61"/>
      <c r="D34" s="61"/>
      <c r="E34" s="61"/>
      <c r="F34" s="52" t="n">
        <f aca="false">COUNTIF(D4:D28,"✗")</f>
        <v>0</v>
      </c>
      <c r="G34" s="52"/>
      <c r="H34" s="52"/>
      <c r="I34" s="52"/>
      <c r="J34" s="52"/>
      <c r="K34" s="52"/>
    </row>
    <row r="35" customFormat="false" ht="19.5" hidden="false" customHeight="true" outlineLevel="0" collapsed="false">
      <c r="A35" s="61" t="s">
        <v>5</v>
      </c>
      <c r="B35" s="61"/>
      <c r="C35" s="61"/>
      <c r="D35" s="61"/>
      <c r="E35" s="61"/>
      <c r="F35" s="53" t="n">
        <f aca="false">IFERROR(F33/25*100,0)</f>
        <v>0</v>
      </c>
      <c r="G35" s="53"/>
      <c r="H35" s="53"/>
      <c r="I35" s="53"/>
      <c r="J35" s="53"/>
      <c r="K35" s="53"/>
    </row>
  </sheetData>
  <mergeCells count="13">
    <mergeCell ref="A1:E1"/>
    <mergeCell ref="A2:E2"/>
    <mergeCell ref="A30:K30"/>
    <mergeCell ref="A31:E31"/>
    <mergeCell ref="F31:K31"/>
    <mergeCell ref="A32:E32"/>
    <mergeCell ref="F32:K32"/>
    <mergeCell ref="A33:E33"/>
    <mergeCell ref="F33:K33"/>
    <mergeCell ref="A34:E34"/>
    <mergeCell ref="F34:K34"/>
    <mergeCell ref="A35:E35"/>
    <mergeCell ref="F35:K35"/>
  </mergeCells>
  <conditionalFormatting sqref="D4:D28">
    <cfRule type="expression" priority="2" aboveAverage="0" equalAverage="0" bottom="0" percent="0" rank="0" text="" dxfId="0">
      <formula>D4="✔"</formula>
    </cfRule>
    <cfRule type="expression" priority="3" aboveAverage="0" equalAverage="0" bottom="0" percent="0" rank="0" text="" dxfId="2">
      <formula>D4="✗"</formula>
    </cfRule>
  </conditionalFormatting>
  <dataValidations count="2">
    <dataValidation allowBlank="true" errorStyle="stop" operator="between" showDropDown="false" showErrorMessage="false" showInputMessage="false" sqref="B4:B28" type="list">
      <formula1>"A,B,C,D,E"</formula1>
      <formula2>0</formula2>
    </dataValidation>
    <dataValidation allowBlank="true" errorStyle="stop" operator="between" showDropDown="false" showErrorMessage="false" showInputMessage="false" sqref="C4:C28" type="list">
      <formula1>"A,B,C,D,E"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24"/>
  </cols>
  <sheetData>
    <row r="1" customFormat="false" ht="36" hidden="false" customHeight="true" outlineLevel="0" collapsed="false">
      <c r="A1" s="58" t="s">
        <v>53</v>
      </c>
      <c r="B1" s="58"/>
      <c r="C1" s="58"/>
      <c r="D1" s="58"/>
      <c r="E1" s="58"/>
    </row>
    <row r="2" customFormat="false" ht="18" hidden="false" customHeight="true" outlineLevel="0" collapsed="false">
      <c r="A2" s="59" t="s">
        <v>36</v>
      </c>
      <c r="B2" s="59"/>
      <c r="C2" s="59"/>
      <c r="D2" s="59"/>
      <c r="E2" s="59"/>
    </row>
    <row r="3" customFormat="false" ht="21.75" hidden="false" customHeight="true" outlineLevel="0" collapsed="false">
      <c r="A3" s="4" t="s">
        <v>37</v>
      </c>
      <c r="B3" s="4" t="s">
        <v>38</v>
      </c>
      <c r="C3" s="4" t="s">
        <v>39</v>
      </c>
      <c r="D3" s="4" t="s">
        <v>40</v>
      </c>
      <c r="E3" s="4" t="s">
        <v>41</v>
      </c>
    </row>
    <row r="4" customFormat="false" ht="19.5" hidden="false" customHeight="true" outlineLevel="0" collapsed="false">
      <c r="A4" s="42" t="n">
        <v>1</v>
      </c>
      <c r="B4" s="43"/>
      <c r="C4" s="43"/>
      <c r="D4" s="44" t="str">
        <f aca="false">IF(AND(B4&lt;&gt;"",C4&lt;&gt;""),IF(EXACT(B4,C4),"✔","✗"),"")</f>
        <v/>
      </c>
      <c r="E4" s="45"/>
    </row>
    <row r="5" customFormat="false" ht="19.5" hidden="false" customHeight="true" outlineLevel="0" collapsed="false">
      <c r="A5" s="46" t="n">
        <v>2</v>
      </c>
      <c r="B5" s="47"/>
      <c r="C5" s="47"/>
      <c r="D5" s="48" t="str">
        <f aca="false">IF(AND(B5&lt;&gt;"",C5&lt;&gt;""),IF(EXACT(B5,C5),"✔","✗"),"")</f>
        <v/>
      </c>
      <c r="E5" s="49"/>
    </row>
    <row r="6" customFormat="false" ht="19.5" hidden="false" customHeight="true" outlineLevel="0" collapsed="false">
      <c r="A6" s="42" t="n">
        <v>3</v>
      </c>
      <c r="B6" s="43"/>
      <c r="C6" s="43"/>
      <c r="D6" s="44" t="str">
        <f aca="false">IF(AND(B6&lt;&gt;"",C6&lt;&gt;""),IF(EXACT(B6,C6),"✔","✗"),"")</f>
        <v/>
      </c>
      <c r="E6" s="45"/>
    </row>
    <row r="7" customFormat="false" ht="19.5" hidden="false" customHeight="true" outlineLevel="0" collapsed="false">
      <c r="A7" s="46" t="n">
        <v>4</v>
      </c>
      <c r="B7" s="47"/>
      <c r="C7" s="47"/>
      <c r="D7" s="48" t="str">
        <f aca="false">IF(AND(B7&lt;&gt;"",C7&lt;&gt;""),IF(EXACT(B7,C7),"✔","✗"),"")</f>
        <v/>
      </c>
      <c r="E7" s="49"/>
    </row>
    <row r="8" customFormat="false" ht="19.5" hidden="false" customHeight="true" outlineLevel="0" collapsed="false">
      <c r="A8" s="42" t="n">
        <v>5</v>
      </c>
      <c r="B8" s="43"/>
      <c r="C8" s="43"/>
      <c r="D8" s="44" t="str">
        <f aca="false">IF(AND(B8&lt;&gt;"",C8&lt;&gt;""),IF(EXACT(B8,C8),"✔","✗"),"")</f>
        <v/>
      </c>
      <c r="E8" s="45"/>
    </row>
    <row r="9" customFormat="false" ht="19.5" hidden="false" customHeight="true" outlineLevel="0" collapsed="false">
      <c r="A9" s="46" t="n">
        <v>6</v>
      </c>
      <c r="B9" s="47"/>
      <c r="C9" s="47"/>
      <c r="D9" s="48" t="str">
        <f aca="false">IF(AND(B9&lt;&gt;"",C9&lt;&gt;""),IF(EXACT(B9,C9),"✔","✗"),"")</f>
        <v/>
      </c>
      <c r="E9" s="49"/>
    </row>
    <row r="10" customFormat="false" ht="19.5" hidden="false" customHeight="true" outlineLevel="0" collapsed="false">
      <c r="A10" s="42" t="n">
        <v>7</v>
      </c>
      <c r="B10" s="43"/>
      <c r="C10" s="43"/>
      <c r="D10" s="44" t="str">
        <f aca="false">IF(AND(B10&lt;&gt;"",C10&lt;&gt;""),IF(EXACT(B10,C10),"✔","✗"),"")</f>
        <v/>
      </c>
      <c r="E10" s="45"/>
    </row>
    <row r="11" customFormat="false" ht="19.5" hidden="false" customHeight="true" outlineLevel="0" collapsed="false">
      <c r="A11" s="46" t="n">
        <v>8</v>
      </c>
      <c r="B11" s="47"/>
      <c r="C11" s="47"/>
      <c r="D11" s="48" t="str">
        <f aca="false">IF(AND(B11&lt;&gt;"",C11&lt;&gt;""),IF(EXACT(B11,C11),"✔","✗"),"")</f>
        <v/>
      </c>
      <c r="E11" s="49"/>
    </row>
    <row r="12" customFormat="false" ht="19.5" hidden="false" customHeight="true" outlineLevel="0" collapsed="false">
      <c r="A12" s="42" t="n">
        <v>9</v>
      </c>
      <c r="B12" s="43"/>
      <c r="C12" s="43"/>
      <c r="D12" s="44" t="str">
        <f aca="false">IF(AND(B12&lt;&gt;"",C12&lt;&gt;""),IF(EXACT(B12,C12),"✔","✗"),"")</f>
        <v/>
      </c>
      <c r="E12" s="45"/>
    </row>
    <row r="13" customFormat="false" ht="19.5" hidden="false" customHeight="true" outlineLevel="0" collapsed="false">
      <c r="A13" s="46" t="n">
        <v>10</v>
      </c>
      <c r="B13" s="47"/>
      <c r="C13" s="47"/>
      <c r="D13" s="48" t="str">
        <f aca="false">IF(AND(B13&lt;&gt;"",C13&lt;&gt;""),IF(EXACT(B13,C13),"✔","✗"),"")</f>
        <v/>
      </c>
      <c r="E13" s="49"/>
    </row>
    <row r="14" customFormat="false" ht="6" hidden="false" customHeight="true" outlineLevel="0" collapsed="false"/>
    <row r="15" customFormat="false" ht="21.75" hidden="false" customHeight="true" outlineLevel="0" collapsed="false">
      <c r="A15" s="60" t="s">
        <v>42</v>
      </c>
      <c r="B15" s="60"/>
      <c r="C15" s="60"/>
      <c r="D15" s="60"/>
      <c r="E15" s="60"/>
      <c r="F15" s="60"/>
      <c r="G15" s="60"/>
      <c r="H15" s="60"/>
      <c r="I15" s="60"/>
      <c r="J15" s="60"/>
      <c r="K15" s="60"/>
    </row>
    <row r="16" customFormat="false" ht="19.5" hidden="false" customHeight="true" outlineLevel="0" collapsed="false">
      <c r="A16" s="61" t="s">
        <v>43</v>
      </c>
      <c r="B16" s="61"/>
      <c r="C16" s="61"/>
      <c r="D16" s="61"/>
      <c r="E16" s="61"/>
      <c r="F16" s="52" t="n">
        <v>10</v>
      </c>
      <c r="G16" s="52"/>
      <c r="H16" s="52"/>
      <c r="I16" s="52"/>
      <c r="J16" s="52"/>
      <c r="K16" s="52"/>
    </row>
    <row r="17" customFormat="false" ht="19.5" hidden="false" customHeight="true" outlineLevel="0" collapsed="false">
      <c r="A17" s="61" t="s">
        <v>44</v>
      </c>
      <c r="B17" s="61"/>
      <c r="C17" s="61"/>
      <c r="D17" s="61"/>
      <c r="E17" s="61"/>
      <c r="F17" s="52" t="n">
        <f aca="false">COUNTIF(B4:B13,"&lt;&gt;"&amp;"")</f>
        <v>0</v>
      </c>
      <c r="G17" s="52"/>
      <c r="H17" s="52"/>
      <c r="I17" s="52"/>
      <c r="J17" s="52"/>
      <c r="K17" s="52"/>
    </row>
    <row r="18" customFormat="false" ht="19.5" hidden="false" customHeight="true" outlineLevel="0" collapsed="false">
      <c r="A18" s="61" t="s">
        <v>45</v>
      </c>
      <c r="B18" s="61"/>
      <c r="C18" s="61"/>
      <c r="D18" s="61"/>
      <c r="E18" s="61"/>
      <c r="F18" s="52" t="n">
        <f aca="false">COUNTIF(D4:D13,"✔")</f>
        <v>0</v>
      </c>
      <c r="G18" s="52"/>
      <c r="H18" s="52"/>
      <c r="I18" s="52"/>
      <c r="J18" s="52"/>
      <c r="K18" s="52"/>
    </row>
    <row r="19" customFormat="false" ht="19.5" hidden="false" customHeight="true" outlineLevel="0" collapsed="false">
      <c r="A19" s="61" t="s">
        <v>46</v>
      </c>
      <c r="B19" s="61"/>
      <c r="C19" s="61"/>
      <c r="D19" s="61"/>
      <c r="E19" s="61"/>
      <c r="F19" s="52" t="n">
        <f aca="false">COUNTIF(D4:D13,"✗")</f>
        <v>0</v>
      </c>
      <c r="G19" s="52"/>
      <c r="H19" s="52"/>
      <c r="I19" s="52"/>
      <c r="J19" s="52"/>
      <c r="K19" s="52"/>
    </row>
    <row r="20" customFormat="false" ht="19.5" hidden="false" customHeight="true" outlineLevel="0" collapsed="false">
      <c r="A20" s="61" t="s">
        <v>5</v>
      </c>
      <c r="B20" s="61"/>
      <c r="C20" s="61"/>
      <c r="D20" s="61"/>
      <c r="E20" s="61"/>
      <c r="F20" s="53" t="n">
        <f aca="false">IFERROR(F18/10*100,0)</f>
        <v>0</v>
      </c>
      <c r="G20" s="53"/>
      <c r="H20" s="53"/>
      <c r="I20" s="53"/>
      <c r="J20" s="53"/>
      <c r="K20" s="53"/>
    </row>
  </sheetData>
  <mergeCells count="13">
    <mergeCell ref="A1:E1"/>
    <mergeCell ref="A2:E2"/>
    <mergeCell ref="A15:K15"/>
    <mergeCell ref="A16:E16"/>
    <mergeCell ref="F16:K16"/>
    <mergeCell ref="A17:E17"/>
    <mergeCell ref="F17:K17"/>
    <mergeCell ref="A18:E18"/>
    <mergeCell ref="F18:K18"/>
    <mergeCell ref="A19:E19"/>
    <mergeCell ref="F19:K19"/>
    <mergeCell ref="A20:E20"/>
    <mergeCell ref="F20:K20"/>
  </mergeCells>
  <conditionalFormatting sqref="D4:D13">
    <cfRule type="expression" priority="2" aboveAverage="0" equalAverage="0" bottom="0" percent="0" rank="0" text="" dxfId="0">
      <formula>D4="✔"</formula>
    </cfRule>
    <cfRule type="expression" priority="3" aboveAverage="0" equalAverage="0" bottom="0" percent="0" rank="0" text="" dxfId="2">
      <formula>D4="✗"</formula>
    </cfRule>
  </conditionalFormatting>
  <dataValidations count="2">
    <dataValidation allowBlank="true" errorStyle="stop" operator="between" showDropDown="false" showErrorMessage="false" showInputMessage="false" sqref="B4:B13" type="list">
      <formula1>"A,B,C,D,E"</formula1>
      <formula2>0</formula2>
    </dataValidation>
    <dataValidation allowBlank="true" errorStyle="stop" operator="between" showDropDown="false" showErrorMessage="false" showInputMessage="false" sqref="C4:C13" type="list">
      <formula1>"A,B,C,D,E"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24"/>
  </cols>
  <sheetData>
    <row r="1" customFormat="false" ht="36" hidden="false" customHeight="true" outlineLevel="0" collapsed="false">
      <c r="A1" s="58" t="s">
        <v>54</v>
      </c>
      <c r="B1" s="58"/>
      <c r="C1" s="58"/>
      <c r="D1" s="58"/>
      <c r="E1" s="58"/>
    </row>
    <row r="2" customFormat="false" ht="18" hidden="false" customHeight="true" outlineLevel="0" collapsed="false">
      <c r="A2" s="59" t="s">
        <v>36</v>
      </c>
      <c r="B2" s="59"/>
      <c r="C2" s="59"/>
      <c r="D2" s="59"/>
      <c r="E2" s="59"/>
    </row>
    <row r="3" customFormat="false" ht="21.75" hidden="false" customHeight="true" outlineLevel="0" collapsed="false">
      <c r="A3" s="4" t="s">
        <v>37</v>
      </c>
      <c r="B3" s="4" t="s">
        <v>38</v>
      </c>
      <c r="C3" s="4" t="s">
        <v>39</v>
      </c>
      <c r="D3" s="4" t="s">
        <v>40</v>
      </c>
      <c r="E3" s="4" t="s">
        <v>41</v>
      </c>
    </row>
    <row r="4" customFormat="false" ht="19.5" hidden="false" customHeight="true" outlineLevel="0" collapsed="false">
      <c r="A4" s="42" t="n">
        <v>1</v>
      </c>
      <c r="B4" s="43"/>
      <c r="C4" s="43"/>
      <c r="D4" s="44" t="str">
        <f aca="false">IF(AND(B4&lt;&gt;"",C4&lt;&gt;""),IF(EXACT(B4,C4),"✔","✗"),"")</f>
        <v/>
      </c>
      <c r="E4" s="45"/>
    </row>
    <row r="5" customFormat="false" ht="19.5" hidden="false" customHeight="true" outlineLevel="0" collapsed="false">
      <c r="A5" s="46" t="n">
        <v>2</v>
      </c>
      <c r="B5" s="47"/>
      <c r="C5" s="47"/>
      <c r="D5" s="48" t="str">
        <f aca="false">IF(AND(B5&lt;&gt;"",C5&lt;&gt;""),IF(EXACT(B5,C5),"✔","✗"),"")</f>
        <v/>
      </c>
      <c r="E5" s="49"/>
    </row>
    <row r="6" customFormat="false" ht="19.5" hidden="false" customHeight="true" outlineLevel="0" collapsed="false">
      <c r="A6" s="42" t="n">
        <v>3</v>
      </c>
      <c r="B6" s="43"/>
      <c r="C6" s="43"/>
      <c r="D6" s="44" t="str">
        <f aca="false">IF(AND(B6&lt;&gt;"",C6&lt;&gt;""),IF(EXACT(B6,C6),"✔","✗"),"")</f>
        <v/>
      </c>
      <c r="E6" s="45"/>
    </row>
    <row r="7" customFormat="false" ht="19.5" hidden="false" customHeight="true" outlineLevel="0" collapsed="false">
      <c r="A7" s="46" t="n">
        <v>4</v>
      </c>
      <c r="B7" s="47"/>
      <c r="C7" s="47"/>
      <c r="D7" s="48" t="str">
        <f aca="false">IF(AND(B7&lt;&gt;"",C7&lt;&gt;""),IF(EXACT(B7,C7),"✔","✗"),"")</f>
        <v/>
      </c>
      <c r="E7" s="49"/>
    </row>
    <row r="8" customFormat="false" ht="19.5" hidden="false" customHeight="true" outlineLevel="0" collapsed="false">
      <c r="A8" s="42" t="n">
        <v>5</v>
      </c>
      <c r="B8" s="43"/>
      <c r="C8" s="43"/>
      <c r="D8" s="44" t="str">
        <f aca="false">IF(AND(B8&lt;&gt;"",C8&lt;&gt;""),IF(EXACT(B8,C8),"✔","✗"),"")</f>
        <v/>
      </c>
      <c r="E8" s="45"/>
    </row>
    <row r="9" customFormat="false" ht="19.5" hidden="false" customHeight="true" outlineLevel="0" collapsed="false">
      <c r="A9" s="46" t="n">
        <v>6</v>
      </c>
      <c r="B9" s="47"/>
      <c r="C9" s="47"/>
      <c r="D9" s="48" t="str">
        <f aca="false">IF(AND(B9&lt;&gt;"",C9&lt;&gt;""),IF(EXACT(B9,C9),"✔","✗"),"")</f>
        <v/>
      </c>
      <c r="E9" s="49"/>
    </row>
    <row r="10" customFormat="false" ht="19.5" hidden="false" customHeight="true" outlineLevel="0" collapsed="false">
      <c r="A10" s="42" t="n">
        <v>7</v>
      </c>
      <c r="B10" s="43"/>
      <c r="C10" s="43"/>
      <c r="D10" s="44" t="str">
        <f aca="false">IF(AND(B10&lt;&gt;"",C10&lt;&gt;""),IF(EXACT(B10,C10),"✔","✗"),"")</f>
        <v/>
      </c>
      <c r="E10" s="45"/>
    </row>
    <row r="11" customFormat="false" ht="19.5" hidden="false" customHeight="true" outlineLevel="0" collapsed="false">
      <c r="A11" s="46" t="n">
        <v>8</v>
      </c>
      <c r="B11" s="47"/>
      <c r="C11" s="47"/>
      <c r="D11" s="48" t="str">
        <f aca="false">IF(AND(B11&lt;&gt;"",C11&lt;&gt;""),IF(EXACT(B11,C11),"✔","✗"),"")</f>
        <v/>
      </c>
      <c r="E11" s="49"/>
    </row>
    <row r="12" customFormat="false" ht="19.5" hidden="false" customHeight="true" outlineLevel="0" collapsed="false">
      <c r="A12" s="42" t="n">
        <v>9</v>
      </c>
      <c r="B12" s="43"/>
      <c r="C12" s="43"/>
      <c r="D12" s="44" t="str">
        <f aca="false">IF(AND(B12&lt;&gt;"",C12&lt;&gt;""),IF(EXACT(B12,C12),"✔","✗"),"")</f>
        <v/>
      </c>
      <c r="E12" s="45"/>
    </row>
    <row r="13" customFormat="false" ht="19.5" hidden="false" customHeight="true" outlineLevel="0" collapsed="false">
      <c r="A13" s="46" t="n">
        <v>10</v>
      </c>
      <c r="B13" s="47"/>
      <c r="C13" s="47"/>
      <c r="D13" s="48" t="str">
        <f aca="false">IF(AND(B13&lt;&gt;"",C13&lt;&gt;""),IF(EXACT(B13,C13),"✔","✗"),"")</f>
        <v/>
      </c>
      <c r="E13" s="49"/>
    </row>
    <row r="14" customFormat="false" ht="19.5" hidden="false" customHeight="true" outlineLevel="0" collapsed="false">
      <c r="A14" s="42" t="n">
        <v>11</v>
      </c>
      <c r="B14" s="43"/>
      <c r="C14" s="43"/>
      <c r="D14" s="44" t="str">
        <f aca="false">IF(AND(B14&lt;&gt;"",C14&lt;&gt;""),IF(EXACT(B14,C14),"✔","✗"),"")</f>
        <v/>
      </c>
      <c r="E14" s="45"/>
    </row>
    <row r="15" customFormat="false" ht="19.5" hidden="false" customHeight="true" outlineLevel="0" collapsed="false">
      <c r="A15" s="46" t="n">
        <v>12</v>
      </c>
      <c r="B15" s="47"/>
      <c r="C15" s="47"/>
      <c r="D15" s="48" t="str">
        <f aca="false">IF(AND(B15&lt;&gt;"",C15&lt;&gt;""),IF(EXACT(B15,C15),"✔","✗"),"")</f>
        <v/>
      </c>
      <c r="E15" s="49"/>
    </row>
    <row r="16" customFormat="false" ht="19.5" hidden="false" customHeight="true" outlineLevel="0" collapsed="false">
      <c r="A16" s="42" t="n">
        <v>13</v>
      </c>
      <c r="B16" s="43"/>
      <c r="C16" s="43"/>
      <c r="D16" s="44" t="str">
        <f aca="false">IF(AND(B16&lt;&gt;"",C16&lt;&gt;""),IF(EXACT(B16,C16),"✔","✗"),"")</f>
        <v/>
      </c>
      <c r="E16" s="45"/>
    </row>
    <row r="17" customFormat="false" ht="19.5" hidden="false" customHeight="true" outlineLevel="0" collapsed="false">
      <c r="A17" s="46" t="n">
        <v>14</v>
      </c>
      <c r="B17" s="47"/>
      <c r="C17" s="47"/>
      <c r="D17" s="48" t="str">
        <f aca="false">IF(AND(B17&lt;&gt;"",C17&lt;&gt;""),IF(EXACT(B17,C17),"✔","✗"),"")</f>
        <v/>
      </c>
      <c r="E17" s="49"/>
    </row>
    <row r="18" customFormat="false" ht="19.5" hidden="false" customHeight="true" outlineLevel="0" collapsed="false">
      <c r="A18" s="42" t="n">
        <v>15</v>
      </c>
      <c r="B18" s="43"/>
      <c r="C18" s="43"/>
      <c r="D18" s="44" t="str">
        <f aca="false">IF(AND(B18&lt;&gt;"",C18&lt;&gt;""),IF(EXACT(B18,C18),"✔","✗"),"")</f>
        <v/>
      </c>
      <c r="E18" s="45"/>
    </row>
    <row r="19" customFormat="false" ht="6" hidden="false" customHeight="true" outlineLevel="0" collapsed="false"/>
    <row r="20" customFormat="false" ht="21.75" hidden="false" customHeight="true" outlineLevel="0" collapsed="false">
      <c r="A20" s="60" t="s">
        <v>42</v>
      </c>
      <c r="B20" s="60"/>
      <c r="C20" s="60"/>
      <c r="D20" s="60"/>
      <c r="E20" s="60"/>
      <c r="F20" s="60"/>
      <c r="G20" s="60"/>
      <c r="H20" s="60"/>
      <c r="I20" s="60"/>
      <c r="J20" s="60"/>
      <c r="K20" s="60"/>
    </row>
    <row r="21" customFormat="false" ht="19.5" hidden="false" customHeight="true" outlineLevel="0" collapsed="false">
      <c r="A21" s="61" t="s">
        <v>43</v>
      </c>
      <c r="B21" s="61"/>
      <c r="C21" s="61"/>
      <c r="D21" s="61"/>
      <c r="E21" s="61"/>
      <c r="F21" s="52" t="n">
        <v>15</v>
      </c>
      <c r="G21" s="52"/>
      <c r="H21" s="52"/>
      <c r="I21" s="52"/>
      <c r="J21" s="52"/>
      <c r="K21" s="52"/>
    </row>
    <row r="22" customFormat="false" ht="19.5" hidden="false" customHeight="true" outlineLevel="0" collapsed="false">
      <c r="A22" s="61" t="s">
        <v>44</v>
      </c>
      <c r="B22" s="61"/>
      <c r="C22" s="61"/>
      <c r="D22" s="61"/>
      <c r="E22" s="61"/>
      <c r="F22" s="52" t="n">
        <f aca="false">COUNTIF(B4:B18,"&lt;&gt;"&amp;"")</f>
        <v>0</v>
      </c>
      <c r="G22" s="52"/>
      <c r="H22" s="52"/>
      <c r="I22" s="52"/>
      <c r="J22" s="52"/>
      <c r="K22" s="52"/>
    </row>
    <row r="23" customFormat="false" ht="19.5" hidden="false" customHeight="true" outlineLevel="0" collapsed="false">
      <c r="A23" s="61" t="s">
        <v>45</v>
      </c>
      <c r="B23" s="61"/>
      <c r="C23" s="61"/>
      <c r="D23" s="61"/>
      <c r="E23" s="61"/>
      <c r="F23" s="52" t="n">
        <f aca="false">COUNTIF(D4:D18,"✔")</f>
        <v>0</v>
      </c>
      <c r="G23" s="52"/>
      <c r="H23" s="52"/>
      <c r="I23" s="52"/>
      <c r="J23" s="52"/>
      <c r="K23" s="52"/>
    </row>
    <row r="24" customFormat="false" ht="19.5" hidden="false" customHeight="true" outlineLevel="0" collapsed="false">
      <c r="A24" s="61" t="s">
        <v>46</v>
      </c>
      <c r="B24" s="61"/>
      <c r="C24" s="61"/>
      <c r="D24" s="61"/>
      <c r="E24" s="61"/>
      <c r="F24" s="52" t="n">
        <f aca="false">COUNTIF(D4:D18,"✗")</f>
        <v>0</v>
      </c>
      <c r="G24" s="52"/>
      <c r="H24" s="52"/>
      <c r="I24" s="52"/>
      <c r="J24" s="52"/>
      <c r="K24" s="52"/>
    </row>
    <row r="25" customFormat="false" ht="19.5" hidden="false" customHeight="true" outlineLevel="0" collapsed="false">
      <c r="A25" s="61" t="s">
        <v>5</v>
      </c>
      <c r="B25" s="61"/>
      <c r="C25" s="61"/>
      <c r="D25" s="61"/>
      <c r="E25" s="61"/>
      <c r="F25" s="53" t="n">
        <f aca="false">IFERROR(F23/15*100,0)</f>
        <v>0</v>
      </c>
      <c r="G25" s="53"/>
      <c r="H25" s="53"/>
      <c r="I25" s="53"/>
      <c r="J25" s="53"/>
      <c r="K25" s="53"/>
    </row>
  </sheetData>
  <mergeCells count="13">
    <mergeCell ref="A1:E1"/>
    <mergeCell ref="A2:E2"/>
    <mergeCell ref="A20:K20"/>
    <mergeCell ref="A21:E21"/>
    <mergeCell ref="F21:K21"/>
    <mergeCell ref="A22:E22"/>
    <mergeCell ref="F22:K22"/>
    <mergeCell ref="A23:E23"/>
    <mergeCell ref="F23:K23"/>
    <mergeCell ref="A24:E24"/>
    <mergeCell ref="F24:K24"/>
    <mergeCell ref="A25:E25"/>
    <mergeCell ref="F25:K25"/>
  </mergeCells>
  <conditionalFormatting sqref="D4:D18">
    <cfRule type="expression" priority="2" aboveAverage="0" equalAverage="0" bottom="0" percent="0" rank="0" text="" dxfId="0">
      <formula>D4="✔"</formula>
    </cfRule>
    <cfRule type="expression" priority="3" aboveAverage="0" equalAverage="0" bottom="0" percent="0" rank="0" text="" dxfId="2">
      <formula>D4="✗"</formula>
    </cfRule>
  </conditionalFormatting>
  <dataValidations count="2">
    <dataValidation allowBlank="true" errorStyle="stop" operator="between" showDropDown="false" showErrorMessage="false" showInputMessage="false" sqref="B4:B18" type="list">
      <formula1>"A,B,C,D,E"</formula1>
      <formula2>0</formula2>
    </dataValidation>
    <dataValidation allowBlank="true" errorStyle="stop" operator="between" showDropDown="false" showErrorMessage="false" showInputMessage="false" sqref="C4:C18" type="list">
      <formula1>"A,B,C,D,E"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24"/>
  </cols>
  <sheetData>
    <row r="1" customFormat="false" ht="36" hidden="false" customHeight="true" outlineLevel="0" collapsed="false">
      <c r="A1" s="58" t="s">
        <v>55</v>
      </c>
      <c r="B1" s="58"/>
      <c r="C1" s="58"/>
      <c r="D1" s="58"/>
      <c r="E1" s="58"/>
    </row>
    <row r="2" customFormat="false" ht="18" hidden="false" customHeight="true" outlineLevel="0" collapsed="false">
      <c r="A2" s="59" t="s">
        <v>36</v>
      </c>
      <c r="B2" s="59"/>
      <c r="C2" s="59"/>
      <c r="D2" s="59"/>
      <c r="E2" s="59"/>
    </row>
    <row r="3" customFormat="false" ht="21.75" hidden="false" customHeight="true" outlineLevel="0" collapsed="false">
      <c r="A3" s="4" t="s">
        <v>37</v>
      </c>
      <c r="B3" s="4" t="s">
        <v>38</v>
      </c>
      <c r="C3" s="4" t="s">
        <v>39</v>
      </c>
      <c r="D3" s="4" t="s">
        <v>40</v>
      </c>
      <c r="E3" s="4" t="s">
        <v>41</v>
      </c>
    </row>
    <row r="4" customFormat="false" ht="19.5" hidden="false" customHeight="true" outlineLevel="0" collapsed="false">
      <c r="A4" s="42" t="n">
        <v>1</v>
      </c>
      <c r="B4" s="43"/>
      <c r="C4" s="43"/>
      <c r="D4" s="44" t="str">
        <f aca="false">IF(AND(B4&lt;&gt;"",C4&lt;&gt;""),IF(EXACT(B4,C4),"✔","✗"),"")</f>
        <v/>
      </c>
      <c r="E4" s="45"/>
    </row>
    <row r="5" customFormat="false" ht="19.5" hidden="false" customHeight="true" outlineLevel="0" collapsed="false">
      <c r="A5" s="46" t="n">
        <v>2</v>
      </c>
      <c r="B5" s="47"/>
      <c r="C5" s="47"/>
      <c r="D5" s="48" t="str">
        <f aca="false">IF(AND(B5&lt;&gt;"",C5&lt;&gt;""),IF(EXACT(B5,C5),"✔","✗"),"")</f>
        <v/>
      </c>
      <c r="E5" s="49"/>
    </row>
    <row r="6" customFormat="false" ht="19.5" hidden="false" customHeight="true" outlineLevel="0" collapsed="false">
      <c r="A6" s="42" t="n">
        <v>3</v>
      </c>
      <c r="B6" s="43"/>
      <c r="C6" s="43"/>
      <c r="D6" s="44" t="str">
        <f aca="false">IF(AND(B6&lt;&gt;"",C6&lt;&gt;""),IF(EXACT(B6,C6),"✔","✗"),"")</f>
        <v/>
      </c>
      <c r="E6" s="45"/>
    </row>
    <row r="7" customFormat="false" ht="19.5" hidden="false" customHeight="true" outlineLevel="0" collapsed="false">
      <c r="A7" s="46" t="n">
        <v>4</v>
      </c>
      <c r="B7" s="47"/>
      <c r="C7" s="47"/>
      <c r="D7" s="48" t="str">
        <f aca="false">IF(AND(B7&lt;&gt;"",C7&lt;&gt;""),IF(EXACT(B7,C7),"✔","✗"),"")</f>
        <v/>
      </c>
      <c r="E7" s="49"/>
    </row>
    <row r="8" customFormat="false" ht="19.5" hidden="false" customHeight="true" outlineLevel="0" collapsed="false">
      <c r="A8" s="42" t="n">
        <v>5</v>
      </c>
      <c r="B8" s="43"/>
      <c r="C8" s="43"/>
      <c r="D8" s="44" t="str">
        <f aca="false">IF(AND(B8&lt;&gt;"",C8&lt;&gt;""),IF(EXACT(B8,C8),"✔","✗"),"")</f>
        <v/>
      </c>
      <c r="E8" s="45"/>
    </row>
    <row r="9" customFormat="false" ht="19.5" hidden="false" customHeight="true" outlineLevel="0" collapsed="false">
      <c r="A9" s="46" t="n">
        <v>6</v>
      </c>
      <c r="B9" s="47"/>
      <c r="C9" s="47"/>
      <c r="D9" s="48" t="str">
        <f aca="false">IF(AND(B9&lt;&gt;"",C9&lt;&gt;""),IF(EXACT(B9,C9),"✔","✗"),"")</f>
        <v/>
      </c>
      <c r="E9" s="49"/>
    </row>
    <row r="10" customFormat="false" ht="19.5" hidden="false" customHeight="true" outlineLevel="0" collapsed="false">
      <c r="A10" s="42" t="n">
        <v>7</v>
      </c>
      <c r="B10" s="43"/>
      <c r="C10" s="43"/>
      <c r="D10" s="44" t="str">
        <f aca="false">IF(AND(B10&lt;&gt;"",C10&lt;&gt;""),IF(EXACT(B10,C10),"✔","✗"),"")</f>
        <v/>
      </c>
      <c r="E10" s="45"/>
    </row>
    <row r="11" customFormat="false" ht="19.5" hidden="false" customHeight="true" outlineLevel="0" collapsed="false">
      <c r="A11" s="46" t="n">
        <v>8</v>
      </c>
      <c r="B11" s="47"/>
      <c r="C11" s="47"/>
      <c r="D11" s="48" t="str">
        <f aca="false">IF(AND(B11&lt;&gt;"",C11&lt;&gt;""),IF(EXACT(B11,C11),"✔","✗"),"")</f>
        <v/>
      </c>
      <c r="E11" s="49"/>
    </row>
    <row r="12" customFormat="false" ht="19.5" hidden="false" customHeight="true" outlineLevel="0" collapsed="false">
      <c r="A12" s="42" t="n">
        <v>9</v>
      </c>
      <c r="B12" s="43"/>
      <c r="C12" s="43"/>
      <c r="D12" s="44" t="str">
        <f aca="false">IF(AND(B12&lt;&gt;"",C12&lt;&gt;""),IF(EXACT(B12,C12),"✔","✗"),"")</f>
        <v/>
      </c>
      <c r="E12" s="45"/>
    </row>
    <row r="13" customFormat="false" ht="19.5" hidden="false" customHeight="true" outlineLevel="0" collapsed="false">
      <c r="A13" s="46" t="n">
        <v>10</v>
      </c>
      <c r="B13" s="47"/>
      <c r="C13" s="47"/>
      <c r="D13" s="48" t="str">
        <f aca="false">IF(AND(B13&lt;&gt;"",C13&lt;&gt;""),IF(EXACT(B13,C13),"✔","✗"),"")</f>
        <v/>
      </c>
      <c r="E13" s="49"/>
    </row>
    <row r="14" customFormat="false" ht="6" hidden="false" customHeight="true" outlineLevel="0" collapsed="false"/>
    <row r="15" customFormat="false" ht="21.75" hidden="false" customHeight="true" outlineLevel="0" collapsed="false">
      <c r="A15" s="60" t="s">
        <v>42</v>
      </c>
      <c r="B15" s="60"/>
      <c r="C15" s="60"/>
      <c r="D15" s="60"/>
      <c r="E15" s="60"/>
      <c r="F15" s="60"/>
      <c r="G15" s="60"/>
      <c r="H15" s="60"/>
      <c r="I15" s="60"/>
      <c r="J15" s="60"/>
      <c r="K15" s="60"/>
    </row>
    <row r="16" customFormat="false" ht="19.5" hidden="false" customHeight="true" outlineLevel="0" collapsed="false">
      <c r="A16" s="61" t="s">
        <v>43</v>
      </c>
      <c r="B16" s="61"/>
      <c r="C16" s="61"/>
      <c r="D16" s="61"/>
      <c r="E16" s="61"/>
      <c r="F16" s="52" t="n">
        <v>10</v>
      </c>
      <c r="G16" s="52"/>
      <c r="H16" s="52"/>
      <c r="I16" s="52"/>
      <c r="J16" s="52"/>
      <c r="K16" s="52"/>
    </row>
    <row r="17" customFormat="false" ht="19.5" hidden="false" customHeight="true" outlineLevel="0" collapsed="false">
      <c r="A17" s="61" t="s">
        <v>44</v>
      </c>
      <c r="B17" s="61"/>
      <c r="C17" s="61"/>
      <c r="D17" s="61"/>
      <c r="E17" s="61"/>
      <c r="F17" s="52" t="n">
        <f aca="false">COUNTIF(B4:B13,"&lt;&gt;"&amp;"")</f>
        <v>0</v>
      </c>
      <c r="G17" s="52"/>
      <c r="H17" s="52"/>
      <c r="I17" s="52"/>
      <c r="J17" s="52"/>
      <c r="K17" s="52"/>
    </row>
    <row r="18" customFormat="false" ht="19.5" hidden="false" customHeight="true" outlineLevel="0" collapsed="false">
      <c r="A18" s="61" t="s">
        <v>45</v>
      </c>
      <c r="B18" s="61"/>
      <c r="C18" s="61"/>
      <c r="D18" s="61"/>
      <c r="E18" s="61"/>
      <c r="F18" s="52" t="n">
        <f aca="false">COUNTIF(D4:D13,"✔")</f>
        <v>0</v>
      </c>
      <c r="G18" s="52"/>
      <c r="H18" s="52"/>
      <c r="I18" s="52"/>
      <c r="J18" s="52"/>
      <c r="K18" s="52"/>
    </row>
    <row r="19" customFormat="false" ht="19.5" hidden="false" customHeight="true" outlineLevel="0" collapsed="false">
      <c r="A19" s="61" t="s">
        <v>46</v>
      </c>
      <c r="B19" s="61"/>
      <c r="C19" s="61"/>
      <c r="D19" s="61"/>
      <c r="E19" s="61"/>
      <c r="F19" s="52" t="n">
        <f aca="false">COUNTIF(D4:D13,"✗")</f>
        <v>0</v>
      </c>
      <c r="G19" s="52"/>
      <c r="H19" s="52"/>
      <c r="I19" s="52"/>
      <c r="J19" s="52"/>
      <c r="K19" s="52"/>
    </row>
    <row r="20" customFormat="false" ht="19.5" hidden="false" customHeight="true" outlineLevel="0" collapsed="false">
      <c r="A20" s="61" t="s">
        <v>5</v>
      </c>
      <c r="B20" s="61"/>
      <c r="C20" s="61"/>
      <c r="D20" s="61"/>
      <c r="E20" s="61"/>
      <c r="F20" s="53" t="n">
        <f aca="false">IFERROR(F18/10*100,0)</f>
        <v>0</v>
      </c>
      <c r="G20" s="53"/>
      <c r="H20" s="53"/>
      <c r="I20" s="53"/>
      <c r="J20" s="53"/>
      <c r="K20" s="53"/>
    </row>
  </sheetData>
  <mergeCells count="13">
    <mergeCell ref="A1:E1"/>
    <mergeCell ref="A2:E2"/>
    <mergeCell ref="A15:K15"/>
    <mergeCell ref="A16:E16"/>
    <mergeCell ref="F16:K16"/>
    <mergeCell ref="A17:E17"/>
    <mergeCell ref="F17:K17"/>
    <mergeCell ref="A18:E18"/>
    <mergeCell ref="F18:K18"/>
    <mergeCell ref="A19:E19"/>
    <mergeCell ref="F19:K19"/>
    <mergeCell ref="A20:E20"/>
    <mergeCell ref="F20:K20"/>
  </mergeCells>
  <conditionalFormatting sqref="D4:D13">
    <cfRule type="expression" priority="2" aboveAverage="0" equalAverage="0" bottom="0" percent="0" rank="0" text="" dxfId="0">
      <formula>D4="✔"</formula>
    </cfRule>
    <cfRule type="expression" priority="3" aboveAverage="0" equalAverage="0" bottom="0" percent="0" rank="0" text="" dxfId="2">
      <formula>D4="✗"</formula>
    </cfRule>
  </conditionalFormatting>
  <dataValidations count="2">
    <dataValidation allowBlank="true" errorStyle="stop" operator="between" showDropDown="false" showErrorMessage="false" showInputMessage="false" sqref="B4:B13" type="list">
      <formula1>"A,B,C,D,E"</formula1>
      <formula2>0</formula2>
    </dataValidation>
    <dataValidation allowBlank="true" errorStyle="stop" operator="between" showDropDown="false" showErrorMessage="false" showInputMessage="false" sqref="C4:C13" type="list">
      <formula1>"A,B,C,D,E"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24"/>
  </cols>
  <sheetData>
    <row r="1" customFormat="false" ht="36" hidden="false" customHeight="true" outlineLevel="0" collapsed="false">
      <c r="A1" s="62" t="s">
        <v>56</v>
      </c>
      <c r="B1" s="62"/>
      <c r="C1" s="62"/>
      <c r="D1" s="62"/>
      <c r="E1" s="62"/>
    </row>
    <row r="2" customFormat="false" ht="18" hidden="false" customHeight="true" outlineLevel="0" collapsed="false">
      <c r="A2" s="63" t="s">
        <v>36</v>
      </c>
      <c r="B2" s="63"/>
      <c r="C2" s="63"/>
      <c r="D2" s="63"/>
      <c r="E2" s="63"/>
    </row>
    <row r="3" customFormat="false" ht="21.75" hidden="false" customHeight="true" outlineLevel="0" collapsed="false">
      <c r="A3" s="4" t="s">
        <v>37</v>
      </c>
      <c r="B3" s="4" t="s">
        <v>38</v>
      </c>
      <c r="C3" s="4" t="s">
        <v>39</v>
      </c>
      <c r="D3" s="4" t="s">
        <v>40</v>
      </c>
      <c r="E3" s="4" t="s">
        <v>41</v>
      </c>
    </row>
    <row r="4" customFormat="false" ht="19.5" hidden="false" customHeight="true" outlineLevel="0" collapsed="false">
      <c r="A4" s="42" t="n">
        <v>1</v>
      </c>
      <c r="B4" s="43"/>
      <c r="C4" s="43"/>
      <c r="D4" s="44" t="str">
        <f aca="false">IF(AND(B4&lt;&gt;"",C4&lt;&gt;""),IF(EXACT(B4,C4),"✔","✗"),"")</f>
        <v/>
      </c>
      <c r="E4" s="45"/>
    </row>
    <row r="5" customFormat="false" ht="19.5" hidden="false" customHeight="true" outlineLevel="0" collapsed="false">
      <c r="A5" s="46" t="n">
        <v>2</v>
      </c>
      <c r="B5" s="47"/>
      <c r="C5" s="47"/>
      <c r="D5" s="48" t="str">
        <f aca="false">IF(AND(B5&lt;&gt;"",C5&lt;&gt;""),IF(EXACT(B5,C5),"✔","✗"),"")</f>
        <v/>
      </c>
      <c r="E5" s="49"/>
    </row>
    <row r="6" customFormat="false" ht="19.5" hidden="false" customHeight="true" outlineLevel="0" collapsed="false">
      <c r="A6" s="42" t="n">
        <v>3</v>
      </c>
      <c r="B6" s="43"/>
      <c r="C6" s="43"/>
      <c r="D6" s="44" t="str">
        <f aca="false">IF(AND(B6&lt;&gt;"",C6&lt;&gt;""),IF(EXACT(B6,C6),"✔","✗"),"")</f>
        <v/>
      </c>
      <c r="E6" s="45"/>
    </row>
    <row r="7" customFormat="false" ht="19.5" hidden="false" customHeight="true" outlineLevel="0" collapsed="false">
      <c r="A7" s="46" t="n">
        <v>4</v>
      </c>
      <c r="B7" s="47"/>
      <c r="C7" s="47"/>
      <c r="D7" s="48" t="str">
        <f aca="false">IF(AND(B7&lt;&gt;"",C7&lt;&gt;""),IF(EXACT(B7,C7),"✔","✗"),"")</f>
        <v/>
      </c>
      <c r="E7" s="49"/>
    </row>
    <row r="8" customFormat="false" ht="19.5" hidden="false" customHeight="true" outlineLevel="0" collapsed="false">
      <c r="A8" s="42" t="n">
        <v>5</v>
      </c>
      <c r="B8" s="43"/>
      <c r="C8" s="43"/>
      <c r="D8" s="44" t="str">
        <f aca="false">IF(AND(B8&lt;&gt;"",C8&lt;&gt;""),IF(EXACT(B8,C8),"✔","✗"),"")</f>
        <v/>
      </c>
      <c r="E8" s="45"/>
    </row>
    <row r="9" customFormat="false" ht="19.5" hidden="false" customHeight="true" outlineLevel="0" collapsed="false">
      <c r="A9" s="46" t="n">
        <v>6</v>
      </c>
      <c r="B9" s="47"/>
      <c r="C9" s="47"/>
      <c r="D9" s="48" t="str">
        <f aca="false">IF(AND(B9&lt;&gt;"",C9&lt;&gt;""),IF(EXACT(B9,C9),"✔","✗"),"")</f>
        <v/>
      </c>
      <c r="E9" s="49"/>
    </row>
    <row r="10" customFormat="false" ht="19.5" hidden="false" customHeight="true" outlineLevel="0" collapsed="false">
      <c r="A10" s="42" t="n">
        <v>7</v>
      </c>
      <c r="B10" s="43"/>
      <c r="C10" s="43"/>
      <c r="D10" s="44" t="str">
        <f aca="false">IF(AND(B10&lt;&gt;"",C10&lt;&gt;""),IF(EXACT(B10,C10),"✔","✗"),"")</f>
        <v/>
      </c>
      <c r="E10" s="45"/>
    </row>
    <row r="11" customFormat="false" ht="19.5" hidden="false" customHeight="true" outlineLevel="0" collapsed="false">
      <c r="A11" s="46" t="n">
        <v>8</v>
      </c>
      <c r="B11" s="47"/>
      <c r="C11" s="47"/>
      <c r="D11" s="48" t="str">
        <f aca="false">IF(AND(B11&lt;&gt;"",C11&lt;&gt;""),IF(EXACT(B11,C11),"✔","✗"),"")</f>
        <v/>
      </c>
      <c r="E11" s="49"/>
    </row>
    <row r="12" customFormat="false" ht="19.5" hidden="false" customHeight="true" outlineLevel="0" collapsed="false">
      <c r="A12" s="42" t="n">
        <v>9</v>
      </c>
      <c r="B12" s="43"/>
      <c r="C12" s="43"/>
      <c r="D12" s="44" t="str">
        <f aca="false">IF(AND(B12&lt;&gt;"",C12&lt;&gt;""),IF(EXACT(B12,C12),"✔","✗"),"")</f>
        <v/>
      </c>
      <c r="E12" s="45"/>
    </row>
    <row r="13" customFormat="false" ht="19.5" hidden="false" customHeight="true" outlineLevel="0" collapsed="false">
      <c r="A13" s="46" t="n">
        <v>10</v>
      </c>
      <c r="B13" s="47"/>
      <c r="C13" s="47"/>
      <c r="D13" s="48" t="str">
        <f aca="false">IF(AND(B13&lt;&gt;"",C13&lt;&gt;""),IF(EXACT(B13,C13),"✔","✗"),"")</f>
        <v/>
      </c>
      <c r="E13" s="49"/>
    </row>
    <row r="14" customFormat="false" ht="19.5" hidden="false" customHeight="true" outlineLevel="0" collapsed="false">
      <c r="A14" s="42" t="n">
        <v>11</v>
      </c>
      <c r="B14" s="43"/>
      <c r="C14" s="43"/>
      <c r="D14" s="44" t="str">
        <f aca="false">IF(AND(B14&lt;&gt;"",C14&lt;&gt;""),IF(EXACT(B14,C14),"✔","✗"),"")</f>
        <v/>
      </c>
      <c r="E14" s="45"/>
    </row>
    <row r="15" customFormat="false" ht="19.5" hidden="false" customHeight="true" outlineLevel="0" collapsed="false">
      <c r="A15" s="46" t="n">
        <v>12</v>
      </c>
      <c r="B15" s="47"/>
      <c r="C15" s="47"/>
      <c r="D15" s="48" t="str">
        <f aca="false">IF(AND(B15&lt;&gt;"",C15&lt;&gt;""),IF(EXACT(B15,C15),"✔","✗"),"")</f>
        <v/>
      </c>
      <c r="E15" s="49"/>
    </row>
    <row r="16" customFormat="false" ht="6" hidden="false" customHeight="true" outlineLevel="0" collapsed="false"/>
    <row r="17" customFormat="false" ht="21.75" hidden="false" customHeight="true" outlineLevel="0" collapsed="false">
      <c r="A17" s="64" t="s">
        <v>42</v>
      </c>
      <c r="B17" s="64"/>
      <c r="C17" s="64"/>
      <c r="D17" s="64"/>
      <c r="E17" s="64"/>
      <c r="F17" s="64"/>
      <c r="G17" s="64"/>
      <c r="H17" s="64"/>
      <c r="I17" s="64"/>
      <c r="J17" s="64"/>
      <c r="K17" s="64"/>
    </row>
    <row r="18" customFormat="false" ht="19.5" hidden="false" customHeight="true" outlineLevel="0" collapsed="false">
      <c r="A18" s="65" t="s">
        <v>43</v>
      </c>
      <c r="B18" s="65"/>
      <c r="C18" s="65"/>
      <c r="D18" s="65"/>
      <c r="E18" s="65"/>
      <c r="F18" s="52" t="n">
        <v>12</v>
      </c>
      <c r="G18" s="52"/>
      <c r="H18" s="52"/>
      <c r="I18" s="52"/>
      <c r="J18" s="52"/>
      <c r="K18" s="52"/>
    </row>
    <row r="19" customFormat="false" ht="19.5" hidden="false" customHeight="true" outlineLevel="0" collapsed="false">
      <c r="A19" s="65" t="s">
        <v>44</v>
      </c>
      <c r="B19" s="65"/>
      <c r="C19" s="65"/>
      <c r="D19" s="65"/>
      <c r="E19" s="65"/>
      <c r="F19" s="52" t="n">
        <f aca="false">COUNTIF(B4:B15,"&lt;&gt;"&amp;"")</f>
        <v>0</v>
      </c>
      <c r="G19" s="52"/>
      <c r="H19" s="52"/>
      <c r="I19" s="52"/>
      <c r="J19" s="52"/>
      <c r="K19" s="52"/>
    </row>
    <row r="20" customFormat="false" ht="19.5" hidden="false" customHeight="true" outlineLevel="0" collapsed="false">
      <c r="A20" s="65" t="s">
        <v>45</v>
      </c>
      <c r="B20" s="65"/>
      <c r="C20" s="65"/>
      <c r="D20" s="65"/>
      <c r="E20" s="65"/>
      <c r="F20" s="52" t="n">
        <f aca="false">COUNTIF(D4:D15,"✔")</f>
        <v>0</v>
      </c>
      <c r="G20" s="52"/>
      <c r="H20" s="52"/>
      <c r="I20" s="52"/>
      <c r="J20" s="52"/>
      <c r="K20" s="52"/>
    </row>
    <row r="21" customFormat="false" ht="19.5" hidden="false" customHeight="true" outlineLevel="0" collapsed="false">
      <c r="A21" s="65" t="s">
        <v>46</v>
      </c>
      <c r="B21" s="65"/>
      <c r="C21" s="65"/>
      <c r="D21" s="65"/>
      <c r="E21" s="65"/>
      <c r="F21" s="52" t="n">
        <f aca="false">COUNTIF(D4:D15,"✗")</f>
        <v>0</v>
      </c>
      <c r="G21" s="52"/>
      <c r="H21" s="52"/>
      <c r="I21" s="52"/>
      <c r="J21" s="52"/>
      <c r="K21" s="52"/>
    </row>
    <row r="22" customFormat="false" ht="19.5" hidden="false" customHeight="true" outlineLevel="0" collapsed="false">
      <c r="A22" s="65" t="s">
        <v>5</v>
      </c>
      <c r="B22" s="65"/>
      <c r="C22" s="65"/>
      <c r="D22" s="65"/>
      <c r="E22" s="65"/>
      <c r="F22" s="53" t="n">
        <f aca="false">IFERROR(F20/12*100,0)</f>
        <v>0</v>
      </c>
      <c r="G22" s="53"/>
      <c r="H22" s="53"/>
      <c r="I22" s="53"/>
      <c r="J22" s="53"/>
      <c r="K22" s="53"/>
    </row>
  </sheetData>
  <mergeCells count="13">
    <mergeCell ref="A1:E1"/>
    <mergeCell ref="A2:E2"/>
    <mergeCell ref="A17:K17"/>
    <mergeCell ref="A18:E18"/>
    <mergeCell ref="F18:K18"/>
    <mergeCell ref="A19:E19"/>
    <mergeCell ref="F19:K19"/>
    <mergeCell ref="A20:E20"/>
    <mergeCell ref="F20:K20"/>
    <mergeCell ref="A21:E21"/>
    <mergeCell ref="F21:K21"/>
    <mergeCell ref="A22:E22"/>
    <mergeCell ref="F22:K22"/>
  </mergeCells>
  <conditionalFormatting sqref="D4:D15">
    <cfRule type="expression" priority="2" aboveAverage="0" equalAverage="0" bottom="0" percent="0" rank="0" text="" dxfId="0">
      <formula>D4="✔"</formula>
    </cfRule>
    <cfRule type="expression" priority="3" aboveAverage="0" equalAverage="0" bottom="0" percent="0" rank="0" text="" dxfId="2">
      <formula>D4="✗"</formula>
    </cfRule>
  </conditionalFormatting>
  <dataValidations count="2">
    <dataValidation allowBlank="true" errorStyle="stop" operator="between" showDropDown="false" showErrorMessage="false" showInputMessage="false" sqref="B4:B15" type="list">
      <formula1>"A,B,C,D,E"</formula1>
      <formula2>0</formula2>
    </dataValidation>
    <dataValidation allowBlank="true" errorStyle="stop" operator="between" showDropDown="false" showErrorMessage="false" showInputMessage="false" sqref="C4:C15" type="list">
      <formula1>"A,B,C,D,E"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11" min="2" style="0" width="11"/>
    <col collapsed="false" customWidth="true" hidden="false" outlineLevel="0" max="12" min="12" style="0" width="12"/>
  </cols>
  <sheetData>
    <row r="1" customFormat="false" ht="36" hidden="false" customHeight="true" outlineLevel="0" collapsed="false">
      <c r="A1" s="62" t="s">
        <v>57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</row>
    <row r="2" customFormat="false" ht="30" hidden="false" customHeight="true" outlineLevel="0" collapsed="false">
      <c r="A2" s="66" t="s">
        <v>58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</row>
    <row r="3" customFormat="false" ht="18" hidden="false" customHeight="true" outlineLevel="0" collapsed="false">
      <c r="A3" s="67" t="s">
        <v>37</v>
      </c>
      <c r="B3" s="68" t="s">
        <v>59</v>
      </c>
      <c r="C3" s="68"/>
      <c r="D3" s="68" t="s">
        <v>60</v>
      </c>
      <c r="E3" s="68"/>
      <c r="F3" s="68" t="s">
        <v>61</v>
      </c>
      <c r="G3" s="68"/>
      <c r="H3" s="68" t="s">
        <v>62</v>
      </c>
      <c r="I3" s="68"/>
      <c r="J3" s="68" t="s">
        <v>63</v>
      </c>
      <c r="K3" s="68"/>
      <c r="L3" s="67" t="s">
        <v>64</v>
      </c>
    </row>
    <row r="4" customFormat="false" ht="19.5" hidden="false" customHeight="true" outlineLevel="0" collapsed="false">
      <c r="A4" s="67"/>
      <c r="B4" s="69" t="s">
        <v>65</v>
      </c>
      <c r="C4" s="69" t="s">
        <v>66</v>
      </c>
      <c r="D4" s="69" t="s">
        <v>65</v>
      </c>
      <c r="E4" s="69" t="s">
        <v>66</v>
      </c>
      <c r="F4" s="69" t="s">
        <v>65</v>
      </c>
      <c r="G4" s="69" t="s">
        <v>66</v>
      </c>
      <c r="H4" s="69" t="s">
        <v>65</v>
      </c>
      <c r="I4" s="69" t="s">
        <v>66</v>
      </c>
      <c r="J4" s="69" t="s">
        <v>65</v>
      </c>
      <c r="K4" s="69" t="s">
        <v>66</v>
      </c>
      <c r="L4" s="67"/>
    </row>
    <row r="5" customFormat="false" ht="21.75" hidden="false" customHeight="true" outlineLevel="0" collapsed="false">
      <c r="A5" s="42" t="n">
        <v>1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4" t="str">
        <f aca="false">IF(AND(A5&lt;&gt;"",C5&lt;&gt;"",E5&lt;&gt;"",G5&lt;&gt;"",I5&lt;&gt;""),IF(AND(EXACT(A5,B5),EXACT(C5,D5),EXACT(E5,F5),EXACT(G5,H5),EXACT(I5,J5)),"✔","✗"),"")</f>
        <v/>
      </c>
    </row>
    <row r="6" customFormat="false" ht="21.75" hidden="false" customHeight="true" outlineLevel="0" collapsed="false">
      <c r="A6" s="46" t="n">
        <v>2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8" t="str">
        <f aca="false">IF(AND(A6&lt;&gt;"",C6&lt;&gt;"",E6&lt;&gt;"",G6&lt;&gt;"",I6&lt;&gt;""),IF(AND(EXACT(A6,B6),EXACT(C6,D6),EXACT(E6,F6),EXACT(G6,H6),EXACT(I6,J6)),"✔","✗"),"")</f>
        <v/>
      </c>
    </row>
    <row r="7" customFormat="false" ht="21.75" hidden="false" customHeight="true" outlineLevel="0" collapsed="false">
      <c r="A7" s="42" t="n">
        <v>3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4" t="str">
        <f aca="false">IF(AND(A7&lt;&gt;"",C7&lt;&gt;"",E7&lt;&gt;"",G7&lt;&gt;"",I7&lt;&gt;""),IF(AND(EXACT(A7,B7),EXACT(C7,D7),EXACT(E7,F7),EXACT(G7,H7),EXACT(I7,J7)),"✔","✗"),"")</f>
        <v/>
      </c>
    </row>
    <row r="8" customFormat="false" ht="21.75" hidden="false" customHeight="true" outlineLevel="0" collapsed="false">
      <c r="A8" s="46" t="n">
        <v>4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8" t="str">
        <f aca="false">IF(AND(A8&lt;&gt;"",C8&lt;&gt;"",E8&lt;&gt;"",G8&lt;&gt;"",I8&lt;&gt;""),IF(AND(EXACT(A8,B8),EXACT(C8,D8),EXACT(E8,F8),EXACT(G8,H8),EXACT(I8,J8)),"✔","✗"),"")</f>
        <v/>
      </c>
    </row>
    <row r="9" customFormat="false" ht="21.75" hidden="false" customHeight="true" outlineLevel="0" collapsed="false">
      <c r="A9" s="42" t="n">
        <v>5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4" t="str">
        <f aca="false">IF(AND(A9&lt;&gt;"",C9&lt;&gt;"",E9&lt;&gt;"",G9&lt;&gt;"",I9&lt;&gt;""),IF(AND(EXACT(A9,B9),EXACT(C9,D9),EXACT(E9,F9),EXACT(G9,H9),EXACT(I9,J9)),"✔","✗"),"")</f>
        <v/>
      </c>
    </row>
    <row r="10" customFormat="false" ht="21.75" hidden="false" customHeight="true" outlineLevel="0" collapsed="false">
      <c r="A10" s="46" t="n">
        <v>6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8" t="str">
        <f aca="false">IF(AND(A10&lt;&gt;"",C10&lt;&gt;"",E10&lt;&gt;"",G10&lt;&gt;"",I10&lt;&gt;""),IF(AND(EXACT(A10,B10),EXACT(C10,D10),EXACT(E10,F10),EXACT(G10,H10),EXACT(I10,J10)),"✔","✗"),"")</f>
        <v/>
      </c>
    </row>
    <row r="11" customFormat="false" ht="21.75" hidden="false" customHeight="true" outlineLevel="0" collapsed="false">
      <c r="A11" s="42" t="n">
        <v>7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4" t="str">
        <f aca="false">IF(AND(A11&lt;&gt;"",C11&lt;&gt;"",E11&lt;&gt;"",G11&lt;&gt;"",I11&lt;&gt;""),IF(AND(EXACT(A11,B11),EXACT(C11,D11),EXACT(E11,F11),EXACT(G11,H11),EXACT(I11,J11)),"✔","✗"),"")</f>
        <v/>
      </c>
    </row>
    <row r="12" customFormat="false" ht="21.75" hidden="false" customHeight="true" outlineLevel="0" collapsed="false">
      <c r="A12" s="46" t="n">
        <v>8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8" t="str">
        <f aca="false">IF(AND(A12&lt;&gt;"",C12&lt;&gt;"",E12&lt;&gt;"",G12&lt;&gt;"",I12&lt;&gt;""),IF(AND(EXACT(A12,B12),EXACT(C12,D12),EXACT(E12,F12),EXACT(G12,H12),EXACT(I12,J12)),"✔","✗"),"")</f>
        <v/>
      </c>
    </row>
    <row r="13" customFormat="false" ht="21.75" hidden="false" customHeight="true" outlineLevel="0" collapsed="false">
      <c r="A13" s="42" t="n">
        <v>9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4" t="str">
        <f aca="false">IF(AND(A13&lt;&gt;"",C13&lt;&gt;"",E13&lt;&gt;"",G13&lt;&gt;"",I13&lt;&gt;""),IF(AND(EXACT(A13,B13),EXACT(C13,D13),EXACT(E13,F13),EXACT(G13,H13),EXACT(I13,J13)),"✔","✗"),"")</f>
        <v/>
      </c>
    </row>
    <row r="14" customFormat="false" ht="21.75" hidden="false" customHeight="true" outlineLevel="0" collapsed="false">
      <c r="A14" s="46" t="n">
        <v>10</v>
      </c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8" t="str">
        <f aca="false">IF(AND(A14&lt;&gt;"",C14&lt;&gt;"",E14&lt;&gt;"",G14&lt;&gt;"",I14&lt;&gt;""),IF(AND(EXACT(A14,B14),EXACT(C14,D14),EXACT(E14,F14),EXACT(G14,H14),EXACT(I14,J14)),"✔","✗"),"")</f>
        <v/>
      </c>
    </row>
    <row r="15" customFormat="false" ht="21.75" hidden="false" customHeight="true" outlineLevel="0" collapsed="false">
      <c r="A15" s="42" t="n">
        <v>11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4" t="str">
        <f aca="false">IF(AND(A15&lt;&gt;"",C15&lt;&gt;"",E15&lt;&gt;"",G15&lt;&gt;"",I15&lt;&gt;""),IF(AND(EXACT(A15,B15),EXACT(C15,D15),EXACT(E15,F15),EXACT(G15,H15),EXACT(I15,J15)),"✔","✗"),"")</f>
        <v/>
      </c>
    </row>
    <row r="16" customFormat="false" ht="21.75" hidden="false" customHeight="true" outlineLevel="0" collapsed="false">
      <c r="A16" s="46" t="n">
        <v>12</v>
      </c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8" t="str">
        <f aca="false">IF(AND(A16&lt;&gt;"",C16&lt;&gt;"",E16&lt;&gt;"",G16&lt;&gt;"",I16&lt;&gt;""),IF(AND(EXACT(A16,B16),EXACT(C16,D16),EXACT(E16,F16),EXACT(G16,H16),EXACT(I16,J16)),"✔","✗"),"")</f>
        <v/>
      </c>
    </row>
    <row r="17" customFormat="false" ht="21.75" hidden="false" customHeight="true" outlineLevel="0" collapsed="false">
      <c r="A17" s="42" t="n">
        <v>13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4" t="str">
        <f aca="false">IF(AND(A17&lt;&gt;"",C17&lt;&gt;"",E17&lt;&gt;"",G17&lt;&gt;"",I17&lt;&gt;""),IF(AND(EXACT(A17,B17),EXACT(C17,D17),EXACT(E17,F17),EXACT(G17,H17),EXACT(I17,J17)),"✔","✗"),"")</f>
        <v/>
      </c>
    </row>
    <row r="18" customFormat="false" ht="21.75" hidden="false" customHeight="true" outlineLevel="0" collapsed="false">
      <c r="A18" s="46" t="n">
        <v>14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8" t="str">
        <f aca="false">IF(AND(A18&lt;&gt;"",C18&lt;&gt;"",E18&lt;&gt;"",G18&lt;&gt;"",I18&lt;&gt;""),IF(AND(EXACT(A18,B18),EXACT(C18,D18),EXACT(E18,F18),EXACT(G18,H18),EXACT(I18,J18)),"✔","✗"),"")</f>
        <v/>
      </c>
    </row>
    <row r="19" customFormat="false" ht="6" hidden="false" customHeight="true" outlineLevel="0" collapsed="false"/>
    <row r="20" customFormat="false" ht="21.75" hidden="false" customHeight="true" outlineLevel="0" collapsed="false">
      <c r="A20" s="64" t="s">
        <v>42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</row>
    <row r="21" customFormat="false" ht="19.5" hidden="false" customHeight="true" outlineLevel="0" collapsed="false">
      <c r="A21" s="65" t="s">
        <v>67</v>
      </c>
      <c r="B21" s="65"/>
      <c r="C21" s="65"/>
      <c r="D21" s="65"/>
      <c r="E21" s="65"/>
      <c r="F21" s="65"/>
      <c r="G21" s="52" t="n">
        <v>14</v>
      </c>
      <c r="H21" s="52"/>
      <c r="I21" s="52"/>
      <c r="J21" s="52"/>
      <c r="K21" s="52"/>
      <c r="L21" s="52"/>
    </row>
    <row r="22" customFormat="false" ht="19.5" hidden="false" customHeight="true" outlineLevel="0" collapsed="false">
      <c r="A22" s="65" t="s">
        <v>44</v>
      </c>
      <c r="B22" s="65"/>
      <c r="C22" s="65"/>
      <c r="D22" s="65"/>
      <c r="E22" s="65"/>
      <c r="F22" s="65"/>
      <c r="G22" s="52" t="n">
        <f aca="false">SUMPRODUCT((B5:B18&lt;&gt;"")*1)</f>
        <v>0</v>
      </c>
      <c r="H22" s="52"/>
      <c r="I22" s="52"/>
      <c r="J22" s="52"/>
      <c r="K22" s="52"/>
      <c r="L22" s="52"/>
    </row>
    <row r="23" customFormat="false" ht="19.5" hidden="false" customHeight="true" outlineLevel="0" collapsed="false">
      <c r="A23" s="65" t="s">
        <v>68</v>
      </c>
      <c r="B23" s="65"/>
      <c r="C23" s="65"/>
      <c r="D23" s="65"/>
      <c r="E23" s="65"/>
      <c r="F23" s="65"/>
      <c r="G23" s="52" t="n">
        <f aca="false">COUNTIF(L5:L18,"✔")</f>
        <v>0</v>
      </c>
      <c r="H23" s="52"/>
      <c r="I23" s="52"/>
      <c r="J23" s="52"/>
      <c r="K23" s="52"/>
      <c r="L23" s="52"/>
    </row>
    <row r="24" customFormat="false" ht="19.5" hidden="false" customHeight="true" outlineLevel="0" collapsed="false">
      <c r="A24" s="65" t="s">
        <v>46</v>
      </c>
      <c r="B24" s="65"/>
      <c r="C24" s="65"/>
      <c r="D24" s="65"/>
      <c r="E24" s="65"/>
      <c r="F24" s="65"/>
      <c r="G24" s="52" t="n">
        <f aca="false">COUNTIF(L5:L18,"✗")</f>
        <v>0</v>
      </c>
      <c r="H24" s="52"/>
      <c r="I24" s="52"/>
      <c r="J24" s="52"/>
      <c r="K24" s="52"/>
      <c r="L24" s="52"/>
    </row>
    <row r="25" customFormat="false" ht="19.5" hidden="false" customHeight="true" outlineLevel="0" collapsed="false">
      <c r="A25" s="65" t="s">
        <v>5</v>
      </c>
      <c r="B25" s="65"/>
      <c r="C25" s="65"/>
      <c r="D25" s="65"/>
      <c r="E25" s="65"/>
      <c r="F25" s="65"/>
      <c r="G25" s="53" t="n">
        <f aca="false">IFERROR(G23/14*100,0)</f>
        <v>0</v>
      </c>
      <c r="H25" s="53"/>
      <c r="I25" s="53"/>
      <c r="J25" s="53"/>
      <c r="K25" s="53"/>
      <c r="L25" s="53"/>
    </row>
  </sheetData>
  <mergeCells count="20">
    <mergeCell ref="A1:L1"/>
    <mergeCell ref="A2:L2"/>
    <mergeCell ref="A3:A4"/>
    <mergeCell ref="B3:C3"/>
    <mergeCell ref="D3:E3"/>
    <mergeCell ref="F3:G3"/>
    <mergeCell ref="H3:I3"/>
    <mergeCell ref="J3:K3"/>
    <mergeCell ref="L3:L4"/>
    <mergeCell ref="A20:L20"/>
    <mergeCell ref="A21:F21"/>
    <mergeCell ref="G21:L21"/>
    <mergeCell ref="A22:F22"/>
    <mergeCell ref="G22:L22"/>
    <mergeCell ref="A23:F23"/>
    <mergeCell ref="G23:L23"/>
    <mergeCell ref="A24:F24"/>
    <mergeCell ref="G24:L24"/>
    <mergeCell ref="A25:F25"/>
    <mergeCell ref="G25:L25"/>
  </mergeCells>
  <conditionalFormatting sqref="L5:L18">
    <cfRule type="expression" priority="2" aboveAverage="0" equalAverage="0" bottom="0" percent="0" rank="0" text="" dxfId="0">
      <formula>L5="✔"</formula>
    </cfRule>
    <cfRule type="expression" priority="3" aboveAverage="0" equalAverage="0" bottom="0" percent="0" rank="0" text="" dxfId="2">
      <formula>L5="✗"</formula>
    </cfRule>
  </conditionalFormatting>
  <dataValidations count="2">
    <dataValidation allowBlank="true" error="Bitte W (wahrscheinlich) oder U (unwahrscheinlich) eingeben" errorStyle="stop" errorTitle="Ungültig" operator="between" showDropDown="false" showErrorMessage="false" showInputMessage="false" sqref="B5:B18 D5:D18 F5:F18 H5:H18 J5:J18" type="list">
      <formula1>"W,U"</formula1>
      <formula2>0</formula2>
    </dataValidation>
    <dataValidation allowBlank="true" error="Bitte W (wahrscheinlich) oder U (unwahrscheinlich) eingeben" errorStyle="stop" errorTitle="Ungültig" operator="between" showDropDown="false" showErrorMessage="false" showInputMessage="false" sqref="C5:C18 E5:E18 G5:G18 I5:I18 K5:K18" type="list">
      <formula1>"W,U"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11" min="2" style="0" width="10"/>
    <col collapsed="false" customWidth="true" hidden="false" outlineLevel="0" max="12" min="12" style="0" width="12"/>
  </cols>
  <sheetData>
    <row r="1" customFormat="false" ht="36" hidden="false" customHeight="true" outlineLevel="0" collapsed="false">
      <c r="A1" s="62" t="s">
        <v>69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</row>
    <row r="2" customFormat="false" ht="36" hidden="false" customHeight="true" outlineLevel="0" collapsed="false">
      <c r="A2" s="70" t="s">
        <v>70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</row>
    <row r="3" customFormat="false" ht="18" hidden="false" customHeight="true" outlineLevel="0" collapsed="false">
      <c r="A3" s="67" t="s">
        <v>37</v>
      </c>
      <c r="B3" s="68" t="s">
        <v>71</v>
      </c>
      <c r="C3" s="68"/>
      <c r="D3" s="68" t="s">
        <v>72</v>
      </c>
      <c r="E3" s="68"/>
      <c r="F3" s="68" t="s">
        <v>73</v>
      </c>
      <c r="G3" s="68"/>
      <c r="H3" s="68" t="s">
        <v>74</v>
      </c>
      <c r="I3" s="68"/>
      <c r="J3" s="68" t="s">
        <v>75</v>
      </c>
      <c r="K3" s="68"/>
      <c r="L3" s="67" t="s">
        <v>76</v>
      </c>
    </row>
    <row r="4" customFormat="false" ht="19.5" hidden="false" customHeight="true" outlineLevel="0" collapsed="false">
      <c r="A4" s="67"/>
      <c r="B4" s="69" t="s">
        <v>77</v>
      </c>
      <c r="C4" s="69" t="s">
        <v>78</v>
      </c>
      <c r="D4" s="69" t="s">
        <v>77</v>
      </c>
      <c r="E4" s="69" t="s">
        <v>78</v>
      </c>
      <c r="F4" s="69" t="s">
        <v>77</v>
      </c>
      <c r="G4" s="69" t="s">
        <v>78</v>
      </c>
      <c r="H4" s="69" t="s">
        <v>77</v>
      </c>
      <c r="I4" s="69" t="s">
        <v>78</v>
      </c>
      <c r="J4" s="69" t="s">
        <v>77</v>
      </c>
      <c r="K4" s="69" t="s">
        <v>78</v>
      </c>
      <c r="L4" s="67"/>
    </row>
    <row r="5" customFormat="false" ht="21.75" hidden="false" customHeight="true" outlineLevel="0" collapsed="false">
      <c r="A5" s="42" t="n">
        <v>1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71" t="str">
        <f aca="false">IF(AND(B5&lt;&gt;"",D5&lt;&gt;"",F5&lt;&gt;"",H5&lt;&gt;"",J5&lt;&gt;""),MAX(0,1-(ABS(B5-C5)+ABS(D5-E5)+ABS(F5-G5)+ABS(H5-I5)+ABS(J5-K5))/12),"")</f>
        <v/>
      </c>
    </row>
    <row r="6" customFormat="false" ht="21.75" hidden="false" customHeight="true" outlineLevel="0" collapsed="false">
      <c r="A6" s="46" t="n">
        <v>2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72" t="str">
        <f aca="false">IF(AND(B6&lt;&gt;"",D6&lt;&gt;"",F6&lt;&gt;"",H6&lt;&gt;"",J6&lt;&gt;""),MAX(0,1-(ABS(B6-C6)+ABS(D6-E6)+ABS(F6-G6)+ABS(H6-I6)+ABS(J6-K6))/12),"")</f>
        <v/>
      </c>
    </row>
    <row r="7" customFormat="false" ht="21.75" hidden="false" customHeight="true" outlineLevel="0" collapsed="false">
      <c r="A7" s="42" t="n">
        <v>3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71" t="str">
        <f aca="false">IF(AND(B7&lt;&gt;"",D7&lt;&gt;"",F7&lt;&gt;"",H7&lt;&gt;"",J7&lt;&gt;""),MAX(0,1-(ABS(B7-C7)+ABS(D7-E7)+ABS(F7-G7)+ABS(H7-I7)+ABS(J7-K7))/12),"")</f>
        <v/>
      </c>
    </row>
    <row r="8" customFormat="false" ht="21.75" hidden="false" customHeight="true" outlineLevel="0" collapsed="false">
      <c r="A8" s="46" t="n">
        <v>4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72" t="str">
        <f aca="false">IF(AND(B8&lt;&gt;"",D8&lt;&gt;"",F8&lt;&gt;"",H8&lt;&gt;"",J8&lt;&gt;""),MAX(0,1-(ABS(B8-C8)+ABS(D8-E8)+ABS(F8-G8)+ABS(H8-I8)+ABS(J8-K8))/12),"")</f>
        <v/>
      </c>
    </row>
    <row r="9" customFormat="false" ht="21.75" hidden="false" customHeight="true" outlineLevel="0" collapsed="false">
      <c r="A9" s="42" t="n">
        <v>5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71" t="str">
        <f aca="false">IF(AND(B9&lt;&gt;"",D9&lt;&gt;"",F9&lt;&gt;"",H9&lt;&gt;"",J9&lt;&gt;""),MAX(0,1-(ABS(B9-C9)+ABS(D9-E9)+ABS(F9-G9)+ABS(H9-I9)+ABS(J9-K9))/12),"")</f>
        <v/>
      </c>
    </row>
    <row r="10" customFormat="false" ht="21.75" hidden="false" customHeight="true" outlineLevel="0" collapsed="false">
      <c r="A10" s="46" t="n">
        <v>6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72" t="str">
        <f aca="false">IF(AND(B10&lt;&gt;"",D10&lt;&gt;"",F10&lt;&gt;"",H10&lt;&gt;"",J10&lt;&gt;""),MAX(0,1-(ABS(B10-C10)+ABS(D10-E10)+ABS(F10-G10)+ABS(H10-I10)+ABS(J10-K10))/12),"")</f>
        <v/>
      </c>
    </row>
    <row r="11" customFormat="false" ht="21.75" hidden="false" customHeight="true" outlineLevel="0" collapsed="false">
      <c r="A11" s="42" t="n">
        <v>7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71" t="str">
        <f aca="false">IF(AND(B11&lt;&gt;"",D11&lt;&gt;"",F11&lt;&gt;"",H11&lt;&gt;"",J11&lt;&gt;""),MAX(0,1-(ABS(B11-C11)+ABS(D11-E11)+ABS(F11-G11)+ABS(H11-I11)+ABS(J11-K11))/12),"")</f>
        <v/>
      </c>
    </row>
    <row r="12" customFormat="false" ht="21.75" hidden="false" customHeight="true" outlineLevel="0" collapsed="false">
      <c r="A12" s="46" t="n">
        <v>8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72" t="str">
        <f aca="false">IF(AND(B12&lt;&gt;"",D12&lt;&gt;"",F12&lt;&gt;"",H12&lt;&gt;"",J12&lt;&gt;""),MAX(0,1-(ABS(B12-C12)+ABS(D12-E12)+ABS(F12-G12)+ABS(H12-I12)+ABS(J12-K12))/12),"")</f>
        <v/>
      </c>
    </row>
    <row r="13" customFormat="false" ht="21.75" hidden="false" customHeight="true" outlineLevel="0" collapsed="false">
      <c r="A13" s="42" t="n">
        <v>9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71" t="str">
        <f aca="false">IF(AND(B13&lt;&gt;"",D13&lt;&gt;"",F13&lt;&gt;"",H13&lt;&gt;"",J13&lt;&gt;""),MAX(0,1-(ABS(B13-C13)+ABS(D13-E13)+ABS(F13-G13)+ABS(H13-I13)+ABS(J13-K13))/12),"")</f>
        <v/>
      </c>
    </row>
    <row r="14" customFormat="false" ht="21.75" hidden="false" customHeight="true" outlineLevel="0" collapsed="false">
      <c r="A14" s="46" t="n">
        <v>10</v>
      </c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72" t="str">
        <f aca="false">IF(AND(B14&lt;&gt;"",D14&lt;&gt;"",F14&lt;&gt;"",H14&lt;&gt;"",J14&lt;&gt;""),MAX(0,1-(ABS(B14-C14)+ABS(D14-E14)+ABS(F14-G14)+ABS(H14-I14)+ABS(J14-K14))/12),"")</f>
        <v/>
      </c>
    </row>
    <row r="15" customFormat="false" ht="21.75" hidden="false" customHeight="true" outlineLevel="0" collapsed="false">
      <c r="A15" s="42" t="n">
        <v>11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71" t="str">
        <f aca="false">IF(AND(B15&lt;&gt;"",D15&lt;&gt;"",F15&lt;&gt;"",H15&lt;&gt;"",J15&lt;&gt;""),MAX(0,1-(ABS(B15-C15)+ABS(D15-E15)+ABS(F15-G15)+ABS(H15-I15)+ABS(J15-K15))/12),"")</f>
        <v/>
      </c>
    </row>
    <row r="16" customFormat="false" ht="21.75" hidden="false" customHeight="true" outlineLevel="0" collapsed="false">
      <c r="A16" s="46" t="n">
        <v>12</v>
      </c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72" t="str">
        <f aca="false">IF(AND(B16&lt;&gt;"",D16&lt;&gt;"",F16&lt;&gt;"",H16&lt;&gt;"",J16&lt;&gt;""),MAX(0,1-(ABS(B16-C16)+ABS(D16-E16)+ABS(F16-G16)+ABS(H16-I16)+ABS(J16-K16))/12),"")</f>
        <v/>
      </c>
    </row>
    <row r="17" customFormat="false" ht="21.75" hidden="false" customHeight="true" outlineLevel="0" collapsed="false">
      <c r="A17" s="42" t="n">
        <v>13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71" t="str">
        <f aca="false">IF(AND(B17&lt;&gt;"",D17&lt;&gt;"",F17&lt;&gt;"",H17&lt;&gt;"",J17&lt;&gt;""),MAX(0,1-(ABS(B17-C17)+ABS(D17-E17)+ABS(F17-G17)+ABS(H17-I17)+ABS(J17-K17))/12),"")</f>
        <v/>
      </c>
    </row>
    <row r="18" customFormat="false" ht="21.75" hidden="false" customHeight="true" outlineLevel="0" collapsed="false">
      <c r="A18" s="46" t="n">
        <v>14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72" t="str">
        <f aca="false">IF(AND(B18&lt;&gt;"",D18&lt;&gt;"",F18&lt;&gt;"",H18&lt;&gt;"",J18&lt;&gt;""),MAX(0,1-(ABS(B18-C18)+ABS(D18-E18)+ABS(F18-G18)+ABS(H18-I18)+ABS(J18-K18))/12),"")</f>
        <v/>
      </c>
    </row>
    <row r="19" customFormat="false" ht="6" hidden="false" customHeight="true" outlineLevel="0" collapsed="false"/>
    <row r="20" customFormat="false" ht="21.75" hidden="false" customHeight="true" outlineLevel="0" collapsed="false">
      <c r="A20" s="64" t="s">
        <v>42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</row>
    <row r="21" customFormat="false" ht="19.5" hidden="false" customHeight="true" outlineLevel="0" collapsed="false">
      <c r="A21" s="65" t="s">
        <v>67</v>
      </c>
      <c r="B21" s="65"/>
      <c r="C21" s="65"/>
      <c r="D21" s="65"/>
      <c r="E21" s="65"/>
      <c r="F21" s="65"/>
      <c r="G21" s="52" t="n">
        <v>14</v>
      </c>
      <c r="H21" s="52"/>
      <c r="I21" s="52"/>
      <c r="J21" s="52"/>
      <c r="K21" s="52"/>
      <c r="L21" s="52"/>
    </row>
    <row r="22" customFormat="false" ht="19.5" hidden="false" customHeight="true" outlineLevel="0" collapsed="false">
      <c r="A22" s="65" t="s">
        <v>79</v>
      </c>
      <c r="B22" s="65"/>
      <c r="C22" s="65"/>
      <c r="D22" s="65"/>
      <c r="E22" s="65"/>
      <c r="F22" s="65"/>
      <c r="G22" s="73" t="n">
        <f aca="false">SUM(L5:L18)</f>
        <v>0</v>
      </c>
      <c r="H22" s="73"/>
      <c r="I22" s="73"/>
      <c r="J22" s="73"/>
      <c r="K22" s="73"/>
      <c r="L22" s="73"/>
    </row>
    <row r="23" customFormat="false" ht="19.5" hidden="false" customHeight="true" outlineLevel="0" collapsed="false">
      <c r="A23" s="65" t="s">
        <v>5</v>
      </c>
      <c r="B23" s="65"/>
      <c r="C23" s="65"/>
      <c r="D23" s="65"/>
      <c r="E23" s="65"/>
      <c r="F23" s="65"/>
      <c r="G23" s="53" t="n">
        <f aca="false">IFERROR(L22/14*100,0)</f>
        <v>0</v>
      </c>
      <c r="H23" s="53"/>
      <c r="I23" s="53"/>
      <c r="J23" s="53"/>
      <c r="K23" s="53"/>
      <c r="L23" s="53"/>
    </row>
  </sheetData>
  <mergeCells count="16">
    <mergeCell ref="A1:L1"/>
    <mergeCell ref="A2:L2"/>
    <mergeCell ref="A3:A4"/>
    <mergeCell ref="B3:C3"/>
    <mergeCell ref="D3:E3"/>
    <mergeCell ref="F3:G3"/>
    <mergeCell ref="H3:I3"/>
    <mergeCell ref="J3:K3"/>
    <mergeCell ref="L3:L4"/>
    <mergeCell ref="A20:L20"/>
    <mergeCell ref="A21:F21"/>
    <mergeCell ref="G21:L21"/>
    <mergeCell ref="A22:F22"/>
    <mergeCell ref="G22:L22"/>
    <mergeCell ref="A23:F23"/>
    <mergeCell ref="G23:L23"/>
  </mergeCells>
  <conditionalFormatting sqref="L5:L18">
    <cfRule type="expression" priority="2" aboveAverage="0" equalAverage="0" bottom="0" percent="0" rank="0" text="" dxfId="0">
      <formula>L5=1</formula>
    </cfRule>
    <cfRule type="expression" priority="3" aboveAverage="0" equalAverage="0" bottom="0" percent="0" rank="0" text="" dxfId="1">
      <formula>AND(L5&gt;0,L5&lt;1)</formula>
    </cfRule>
    <cfRule type="expression" priority="4" aboveAverage="0" equalAverage="0" bottom="0" percent="0" rank="0" text="" dxfId="2">
      <formula>L5=0</formula>
    </cfRule>
  </conditionalFormatting>
  <dataValidations count="2">
    <dataValidation allowBlank="true" error="Rang 1–5 eingeben" errorStyle="stop" errorTitle="Ungültig" operator="between" showDropDown="false" showErrorMessage="false" showInputMessage="false" sqref="B5:B18 D5:D18 F5:F18 H5:H18 J5:J18" type="list">
      <formula1>"1,2,3,4,5"</formula1>
      <formula2>0</formula2>
    </dataValidation>
    <dataValidation allowBlank="true" error="Rang 1–5 eingeben" errorStyle="stop" errorTitle="Ungültig" operator="between" showDropDown="false" showErrorMessage="false" showInputMessage="false" sqref="C5:C18 E5:E18 G5:G18 I5:I18 K5:K18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2026-05-16T17:52:30Z</dcterms:created>
  <dc:creator>openpyxl</dc:creator>
  <dc:description/>
  <dc:language>en-US</dc:language>
  <cp:lastModifiedBy/>
  <dcterms:modified xsi:type="dcterms:W3CDTF">2026-05-16T17:52:30Z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